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629"/>
  <workbookPr codeName="ThisWorkbook"/>
  <mc:AlternateContent xmlns:mc="http://schemas.openxmlformats.org/markup-compatibility/2006">
    <mc:Choice Requires="x15">
      <x15ac:absPath xmlns:x15ac="http://schemas.microsoft.com/office/spreadsheetml/2010/11/ac" url="C:\Users\Thomas\Desktop\UNH Fall 2019\UNHSEDS\"/>
    </mc:Choice>
  </mc:AlternateContent>
  <xr:revisionPtr revIDLastSave="0" documentId="8_{487A9E9B-C8B0-4ABA-A939-2267398F2FBE}" xr6:coauthVersionLast="43" xr6:coauthVersionMax="43" xr10:uidLastSave="{00000000-0000-0000-0000-000000000000}"/>
  <bookViews>
    <workbookView xWindow="-108" yWindow="-108" windowWidth="23256" windowHeight="12600" xr2:uid="{00000000-000D-0000-FFFF-FFFF00000000}"/>
  </bookViews>
  <sheets>
    <sheet name="GanttChart" sheetId="9" r:id="rId1"/>
  </sheets>
  <definedNames>
    <definedName name="prevWBS" localSheetId="0">GanttChart!$A1048576</definedName>
    <definedName name="_xlnm.Print_Area" localSheetId="0">GanttChart!$A$1:$BM$20</definedName>
    <definedName name="_xlnm.Print_Titles" localSheetId="0">GanttChart!$4:$7</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1" i="9" l="1"/>
  <c r="F23" i="9" l="1"/>
  <c r="F24" i="9" s="1"/>
  <c r="F22" i="9"/>
  <c r="F8" i="9"/>
  <c r="F17" i="9"/>
  <c r="F15" i="9"/>
  <c r="F13" i="9"/>
  <c r="F25" i="9" l="1"/>
  <c r="J6" i="9" l="1"/>
  <c r="F9" i="9" l="1"/>
  <c r="F10" i="9"/>
  <c r="J7" i="9"/>
  <c r="J4" i="9"/>
  <c r="A8" i="9"/>
  <c r="A22" i="9"/>
  <c r="A23" i="9" s="1"/>
  <c r="A24" i="9" s="1"/>
  <c r="A25" i="9" s="1"/>
  <c r="K6" i="9" l="1"/>
  <c r="F14" i="9" l="1"/>
  <c r="F16" i="9"/>
  <c r="F18" i="9"/>
  <c r="L6" i="9"/>
  <c r="M6" i="9" l="1"/>
  <c r="N6" i="9" l="1"/>
  <c r="F12" i="9"/>
  <c r="J5" i="9"/>
  <c r="O6" i="9" l="1"/>
  <c r="K7" i="9"/>
  <c r="P6" i="9" l="1"/>
  <c r="L7" i="9"/>
  <c r="Q6" i="9" l="1"/>
  <c r="M7" i="9"/>
  <c r="R6" i="9" l="1"/>
  <c r="N7" i="9"/>
  <c r="S6" i="9" l="1"/>
  <c r="O7" i="9"/>
  <c r="T6" i="9" l="1"/>
  <c r="P7" i="9"/>
  <c r="U6" i="9" l="1"/>
  <c r="Q7" i="9"/>
  <c r="Q5" i="9"/>
  <c r="Q4" i="9"/>
  <c r="V6" i="9" l="1"/>
  <c r="R7" i="9"/>
  <c r="W6" i="9" l="1"/>
  <c r="S7" i="9"/>
  <c r="X6" i="9" l="1"/>
  <c r="T7" i="9"/>
  <c r="Y6" i="9" l="1"/>
  <c r="U7" i="9"/>
  <c r="Z6" i="9" l="1"/>
  <c r="W7" i="9"/>
  <c r="V7" i="9"/>
  <c r="AA6" i="9" l="1"/>
  <c r="X5" i="9"/>
  <c r="X4" i="9"/>
  <c r="X7" i="9"/>
  <c r="AB6" i="9" l="1"/>
  <c r="Y7" i="9"/>
  <c r="AC6" i="9" l="1"/>
  <c r="Z7" i="9"/>
  <c r="AD6" i="9" l="1"/>
  <c r="AA7" i="9"/>
  <c r="AE6" i="9" l="1"/>
  <c r="AB7" i="9"/>
  <c r="AF6" i="9" l="1"/>
  <c r="AC7" i="9"/>
  <c r="AG6" i="9" l="1"/>
  <c r="AD7" i="9"/>
  <c r="AH6" i="9" l="1"/>
  <c r="AE4" i="9"/>
  <c r="AE7" i="9"/>
  <c r="AE5" i="9"/>
  <c r="AI6" i="9" l="1"/>
  <c r="AF7" i="9"/>
  <c r="AJ6" i="9" l="1"/>
  <c r="AG7" i="9"/>
  <c r="AK6" i="9" l="1"/>
  <c r="AH7" i="9"/>
  <c r="AL6" i="9" l="1"/>
  <c r="AI7" i="9"/>
  <c r="AM6" i="9" l="1"/>
  <c r="AJ7" i="9"/>
  <c r="AN6" i="9" l="1"/>
  <c r="AK7" i="9"/>
  <c r="AO6" i="9" l="1"/>
  <c r="AL7" i="9"/>
  <c r="AL5" i="9"/>
  <c r="AL4" i="9"/>
  <c r="AP6" i="9" l="1"/>
  <c r="AM7" i="9"/>
  <c r="AQ6" i="9" l="1"/>
  <c r="AN7" i="9"/>
  <c r="AR6" i="9" l="1"/>
  <c r="AO7" i="9"/>
  <c r="AS6" i="9" l="1"/>
  <c r="AP7" i="9"/>
  <c r="AT6" i="9" l="1"/>
  <c r="AQ7" i="9"/>
  <c r="AU6" i="9" l="1"/>
  <c r="AR7" i="9"/>
  <c r="AV6" i="9" l="1"/>
  <c r="AS7" i="9"/>
  <c r="AS5" i="9"/>
  <c r="AS4" i="9"/>
  <c r="AW6" i="9" l="1"/>
  <c r="AT7" i="9"/>
  <c r="AX6" i="9" l="1"/>
  <c r="AU7" i="9"/>
  <c r="AY6" i="9" l="1"/>
  <c r="AV7" i="9"/>
  <c r="AZ6" i="9" l="1"/>
  <c r="AW7" i="9"/>
  <c r="BA6" i="9" l="1"/>
  <c r="AX7" i="9"/>
  <c r="BB6" i="9" l="1"/>
  <c r="AY7" i="9"/>
  <c r="BC6" i="9" l="1"/>
  <c r="AZ5" i="9"/>
  <c r="AZ4" i="9"/>
  <c r="AZ7" i="9"/>
  <c r="BD6" i="9" l="1"/>
  <c r="BA7" i="9"/>
  <c r="BE6" i="9" l="1"/>
  <c r="BB7" i="9"/>
  <c r="BF6" i="9" l="1"/>
  <c r="BC7" i="9"/>
  <c r="BG6" i="9" l="1"/>
  <c r="BD7" i="9"/>
  <c r="BH6" i="9" l="1"/>
  <c r="BE7" i="9"/>
  <c r="BI6" i="9" l="1"/>
  <c r="BF7" i="9"/>
  <c r="BJ6" i="9" l="1"/>
  <c r="BG4" i="9"/>
  <c r="BG7" i="9"/>
  <c r="BG5" i="9"/>
  <c r="BK6" i="9" l="1"/>
  <c r="BH7" i="9"/>
  <c r="BL6" i="9" l="1"/>
  <c r="BI7" i="9"/>
  <c r="BM6" i="9" l="1"/>
  <c r="BJ7" i="9"/>
  <c r="BK7" i="9" l="1"/>
  <c r="BL7" i="9" l="1"/>
  <c r="BM7" i="9" l="1"/>
  <c r="A9" i="9" l="1"/>
  <c r="A10" i="9" s="1"/>
  <c r="A13" i="9" s="1"/>
  <c r="A14" i="9" s="1"/>
  <c r="A15" i="9" l="1"/>
  <c r="A16" i="9" s="1"/>
  <c r="A17" i="9" l="1"/>
  <c r="A18"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7" authorId="0" shapeId="0" xr:uid="{00000000-0006-0000-0000-000001000000}">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7" authorId="0" shapeId="0" xr:uid="{00000000-0006-0000-0000-000002000000}">
      <text>
        <r>
          <rPr>
            <b/>
            <sz val="9"/>
            <color indexed="81"/>
            <rFont val="Tahoma"/>
            <family val="2"/>
          </rPr>
          <t>Task Description</t>
        </r>
        <r>
          <rPr>
            <sz val="9"/>
            <color indexed="81"/>
            <rFont val="Tahoma"/>
            <family val="2"/>
          </rPr>
          <t xml:space="preserve">
Enter the name of each task and sub-task. Use indents for sub-tasks.</t>
        </r>
      </text>
    </comment>
    <comment ref="C7" authorId="0" shapeId="0" xr:uid="{00000000-0006-0000-0000-000003000000}">
      <text>
        <r>
          <rPr>
            <b/>
            <sz val="9"/>
            <color indexed="81"/>
            <rFont val="Tahoma"/>
            <family val="2"/>
          </rPr>
          <t>Task Lead</t>
        </r>
        <r>
          <rPr>
            <sz val="9"/>
            <color indexed="81"/>
            <rFont val="Tahoma"/>
            <family val="2"/>
          </rPr>
          <t xml:space="preserve">
Enter the name of the Task Lead in this column.</t>
        </r>
      </text>
    </comment>
    <comment ref="D7" authorId="0" shapeId="0" xr:uid="{00000000-0006-0000-0000-000004000000}">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E7" authorId="0" shapeId="0" xr:uid="{00000000-0006-0000-0000-000005000000}">
      <text>
        <r>
          <rPr>
            <b/>
            <sz val="9"/>
            <color rgb="FF000000"/>
            <rFont val="Tahoma"/>
            <family val="2"/>
          </rPr>
          <t>Task Start Date</t>
        </r>
        <r>
          <rPr>
            <sz val="9"/>
            <color rgb="FF000000"/>
            <rFont val="Tahoma"/>
            <family val="2"/>
          </rPr>
          <t xml:space="preserve">
</t>
        </r>
        <r>
          <rPr>
            <sz val="9"/>
            <color rgb="FF000000"/>
            <rFont val="Tahoma"/>
            <family val="2"/>
          </rPr>
          <t xml:space="preserve">You can manually enter the Start Date for each task or use a formula to create a dependency on a Predecessor. For example, you could enter </t>
        </r>
        <r>
          <rPr>
            <b/>
            <sz val="9"/>
            <color rgb="FF000000"/>
            <rFont val="Tahoma"/>
            <family val="2"/>
          </rPr>
          <t>=</t>
        </r>
        <r>
          <rPr>
            <b/>
            <i/>
            <sz val="9"/>
            <color rgb="FF000000"/>
            <rFont val="Tahoma"/>
            <family val="2"/>
          </rPr>
          <t>enddate</t>
        </r>
        <r>
          <rPr>
            <b/>
            <sz val="9"/>
            <color rgb="FF000000"/>
            <rFont val="Tahoma"/>
            <family val="2"/>
          </rPr>
          <t>+1</t>
        </r>
        <r>
          <rPr>
            <sz val="9"/>
            <color rgb="FF000000"/>
            <rFont val="Tahoma"/>
            <family val="2"/>
          </rPr>
          <t xml:space="preserve"> to set the Start date to the next calendar day, or </t>
        </r>
        <r>
          <rPr>
            <b/>
            <sz val="9"/>
            <color rgb="FF000000"/>
            <rFont val="Tahoma"/>
            <family val="2"/>
          </rPr>
          <t>=WORKDAY(</t>
        </r>
        <r>
          <rPr>
            <b/>
            <i/>
            <sz val="9"/>
            <color rgb="FF000000"/>
            <rFont val="Tahoma"/>
            <family val="2"/>
          </rPr>
          <t>enddate</t>
        </r>
        <r>
          <rPr>
            <b/>
            <sz val="9"/>
            <color rgb="FF000000"/>
            <rFont val="Tahoma"/>
            <family val="2"/>
          </rPr>
          <t>,1)</t>
        </r>
        <r>
          <rPr>
            <sz val="9"/>
            <color rgb="FF000000"/>
            <rFont val="Tahoma"/>
            <family val="2"/>
          </rPr>
          <t xml:space="preserve"> to set the Start date to the next work day (excluding weekends), where </t>
        </r>
        <r>
          <rPr>
            <i/>
            <sz val="9"/>
            <color rgb="FF000000"/>
            <rFont val="Tahoma"/>
            <family val="2"/>
          </rPr>
          <t>enddate</t>
        </r>
        <r>
          <rPr>
            <sz val="9"/>
            <color rgb="FF000000"/>
            <rFont val="Tahoma"/>
            <family val="2"/>
          </rPr>
          <t xml:space="preserve"> is the cell reference for the End date of the Predecessor task.</t>
        </r>
      </text>
    </comment>
    <comment ref="F7" authorId="1" shapeId="0" xr:uid="{00000000-0006-0000-0000-000006000000}">
      <text>
        <r>
          <rPr>
            <b/>
            <sz val="9"/>
            <color rgb="FF000000"/>
            <rFont val="Tahoma"/>
            <family val="2"/>
          </rPr>
          <t>End Date:</t>
        </r>
        <r>
          <rPr>
            <sz val="9"/>
            <color rgb="FF000000"/>
            <rFont val="Tahoma"/>
            <family val="2"/>
          </rPr>
          <t xml:space="preserve">
</t>
        </r>
        <r>
          <rPr>
            <sz val="9"/>
            <color rgb="FF000000"/>
            <rFont val="Tahoma"/>
            <family val="2"/>
          </rPr>
          <t>The End Date is calculated based on the Start Date and the Calendar Days columns.</t>
        </r>
      </text>
    </comment>
    <comment ref="G7" authorId="0" shapeId="0" xr:uid="{00000000-0006-0000-0000-00000700000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H7" authorId="0" shapeId="0" xr:uid="{00000000-0006-0000-0000-000008000000}">
      <text>
        <r>
          <rPr>
            <b/>
            <sz val="9"/>
            <color indexed="81"/>
            <rFont val="Tahoma"/>
            <family val="2"/>
          </rPr>
          <t>Percent Complete</t>
        </r>
        <r>
          <rPr>
            <sz val="9"/>
            <color indexed="81"/>
            <rFont val="Tahoma"/>
            <family val="2"/>
          </rPr>
          <t xml:space="preserve">
Update the status of this task by entering the percent complete (between 0% and 100%).</t>
        </r>
      </text>
    </comment>
  </commentList>
</comments>
</file>

<file path=xl/sharedStrings.xml><?xml version="1.0" encoding="utf-8"?>
<sst xmlns="http://schemas.openxmlformats.org/spreadsheetml/2006/main" count="28" uniqueCount="20">
  <si>
    <t>WBS</t>
  </si>
  <si>
    <t>[Task Category]</t>
  </si>
  <si>
    <t>[Task]</t>
  </si>
  <si>
    <t xml:space="preserve"> . [ Level 2 Task ]</t>
  </si>
  <si>
    <t xml:space="preserve"> . . [ Level 3 Task ]</t>
  </si>
  <si>
    <t xml:space="preserve"> . . . [ Level 4 Task ]</t>
  </si>
  <si>
    <t>TASK</t>
  </si>
  <si>
    <t>LEAD</t>
  </si>
  <si>
    <t>START</t>
  </si>
  <si>
    <t>END</t>
  </si>
  <si>
    <t>DAYS</t>
  </si>
  <si>
    <t>% DONE</t>
  </si>
  <si>
    <t>PREDECESSOR</t>
  </si>
  <si>
    <t xml:space="preserve">Display Week </t>
  </si>
  <si>
    <t xml:space="preserve">Project Start Date </t>
  </si>
  <si>
    <t xml:space="preserve">Project Lead </t>
  </si>
  <si>
    <t>[ Level 1 Task or Phase ]</t>
  </si>
  <si>
    <t>SEDS GANTT</t>
  </si>
  <si>
    <t>Types of Rows</t>
  </si>
  <si>
    <t xml:space="preserve">libbys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</si>
</sst>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dddd\)"/>
    <numFmt numFmtId="165" formatCode="ddd\ m/dd/yy"/>
    <numFmt numFmtId="166" formatCode="d"/>
    <numFmt numFmtId="167" formatCode="d\ mmm\ yyyy"/>
  </numFmts>
  <fonts count="51" x14ac:knownFonts="1">
    <font>
      <sz val="10"/>
      <name val="Arial"/>
    </font>
    <font>
      <sz val="10"/>
      <name val="Arial"/>
      <family val="2"/>
    </font>
    <font>
      <u/>
      <sz val="10"/>
      <color indexed="12"/>
      <name val="Arial"/>
      <family val="2"/>
    </font>
    <font>
      <sz val="8"/>
      <name val="Arial"/>
      <family val="2"/>
    </font>
    <font>
      <u/>
      <sz val="8"/>
      <color indexed="12"/>
      <name val="Arial"/>
      <family val="2"/>
    </font>
    <font>
      <sz val="10"/>
      <name val="Arial"/>
      <family val="2"/>
    </font>
    <font>
      <sz val="14"/>
      <color indexed="56"/>
      <name val="Arial"/>
      <family val="2"/>
    </font>
    <font>
      <sz val="9"/>
      <name val="Arial"/>
      <family val="2"/>
    </font>
    <font>
      <sz val="7"/>
      <color indexed="55"/>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b/>
      <sz val="9"/>
      <color indexed="81"/>
      <name val="Tahoma"/>
      <family val="2"/>
    </font>
    <font>
      <sz val="9"/>
      <color indexed="81"/>
      <name val="Tahoma"/>
      <family val="2"/>
    </font>
    <font>
      <sz val="9"/>
      <name val="Arial"/>
      <family val="2"/>
      <scheme val="minor"/>
    </font>
    <font>
      <sz val="10"/>
      <name val="Arial"/>
      <family val="1"/>
      <scheme val="major"/>
    </font>
    <font>
      <sz val="11"/>
      <name val="Arial"/>
      <family val="1"/>
      <scheme val="major"/>
    </font>
    <font>
      <sz val="10"/>
      <name val="Arial"/>
      <family val="2"/>
      <scheme val="minor"/>
    </font>
    <font>
      <b/>
      <sz val="11"/>
      <name val="Arial"/>
      <family val="2"/>
      <scheme val="minor"/>
    </font>
    <font>
      <sz val="9"/>
      <color rgb="FF000000"/>
      <name val="Arial"/>
      <family val="2"/>
      <scheme val="minor"/>
    </font>
    <font>
      <i/>
      <sz val="9"/>
      <name val="Arial"/>
      <family val="2"/>
      <scheme val="minor"/>
    </font>
    <font>
      <b/>
      <sz val="10"/>
      <color rgb="FF000000"/>
      <name val="Arial"/>
      <family val="2"/>
      <scheme val="minor"/>
    </font>
    <font>
      <sz val="10"/>
      <color rgb="FF000000"/>
      <name val="Arial"/>
      <family val="2"/>
      <scheme val="minor"/>
    </font>
    <font>
      <sz val="8"/>
      <name val="Arial"/>
      <family val="2"/>
      <scheme val="minor"/>
    </font>
    <font>
      <sz val="11"/>
      <name val="Arial"/>
      <family val="2"/>
      <scheme val="minor"/>
    </font>
    <font>
      <sz val="14"/>
      <name val="Arial"/>
      <family val="2"/>
      <scheme val="minor"/>
    </font>
    <font>
      <sz val="14"/>
      <color rgb="FF000000"/>
      <name val="Arial"/>
      <family val="2"/>
      <scheme val="minor"/>
    </font>
    <font>
      <sz val="10"/>
      <name val="Arial"/>
      <family val="2"/>
      <scheme val="major"/>
    </font>
    <font>
      <b/>
      <sz val="9"/>
      <name val="Arial"/>
      <family val="2"/>
      <scheme val="major"/>
    </font>
    <font>
      <b/>
      <sz val="8"/>
      <name val="Arial"/>
      <family val="2"/>
      <scheme val="major"/>
    </font>
    <font>
      <sz val="16"/>
      <color theme="4" tint="-0.249977111117893"/>
      <name val="Arial"/>
      <family val="1"/>
      <scheme val="major"/>
    </font>
    <font>
      <b/>
      <sz val="11"/>
      <color rgb="FF000000"/>
      <name val="Arial"/>
      <family val="2"/>
      <scheme val="minor"/>
    </font>
    <font>
      <i/>
      <sz val="8"/>
      <color theme="1" tint="0.34998626667073579"/>
      <name val="Arial"/>
      <family val="2"/>
    </font>
    <font>
      <b/>
      <sz val="9"/>
      <color rgb="FF000000"/>
      <name val="Tahoma"/>
      <family val="2"/>
    </font>
    <font>
      <sz val="9"/>
      <color rgb="FF000000"/>
      <name val="Tahoma"/>
      <family val="2"/>
    </font>
    <font>
      <b/>
      <i/>
      <sz val="9"/>
      <color rgb="FF000000"/>
      <name val="Tahoma"/>
      <family val="2"/>
    </font>
    <font>
      <i/>
      <sz val="9"/>
      <color rgb="FF000000"/>
      <name val="Tahoma"/>
      <family val="2"/>
    </font>
  </fonts>
  <fills count="26">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indexed="9"/>
        <bgColor indexed="64"/>
      </patternFill>
    </fill>
    <fill>
      <patternFill patternType="solid">
        <fgColor rgb="FFFFFFFF"/>
        <bgColor rgb="FFFFFFFF"/>
      </patternFill>
    </fill>
    <fill>
      <patternFill patternType="solid">
        <fgColor theme="0" tint="-0.14999847407452621"/>
        <bgColor rgb="FFD9D9D9"/>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s>
  <borders count="2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bottom style="thin">
        <color rgb="FFEFEFEF"/>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s>
  <cellStyleXfs count="44">
    <xf numFmtId="0" fontId="0" fillId="0" borderId="0"/>
    <xf numFmtId="0" fontId="9"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2"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6"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8"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10" borderId="0" applyNumberFormat="0" applyBorder="0" applyAlignment="0" applyProtection="0"/>
    <xf numFmtId="0" fontId="10" fillId="12" borderId="0" applyNumberFormat="0" applyBorder="0" applyAlignment="0" applyProtection="0"/>
    <xf numFmtId="0" fontId="10" fillId="9" borderId="0" applyNumberFormat="0" applyBorder="0" applyAlignment="0" applyProtection="0"/>
    <xf numFmtId="0" fontId="10"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1" fillId="16" borderId="0" applyNumberFormat="0" applyBorder="0" applyAlignment="0" applyProtection="0"/>
    <xf numFmtId="0" fontId="12" fillId="17" borderId="1" applyNumberFormat="0" applyAlignment="0" applyProtection="0"/>
    <xf numFmtId="0" fontId="13" fillId="18" borderId="2" applyNumberFormat="0" applyAlignment="0" applyProtection="0"/>
    <xf numFmtId="0" fontId="14" fillId="0" borderId="0" applyNumberFormat="0" applyFill="0" applyBorder="0" applyAlignment="0" applyProtection="0"/>
    <xf numFmtId="0" fontId="15" fillId="19" borderId="0" applyNumberFormat="0" applyBorder="0" applyAlignment="0" applyProtection="0"/>
    <xf numFmtId="0" fontId="16" fillId="0" borderId="3" applyNumberFormat="0" applyFill="0" applyAlignment="0" applyProtection="0"/>
    <xf numFmtId="0" fontId="17" fillId="0" borderId="4" applyNumberFormat="0" applyFill="0" applyAlignment="0" applyProtection="0"/>
    <xf numFmtId="0" fontId="18" fillId="0" borderId="5" applyNumberFormat="0" applyFill="0" applyAlignment="0" applyProtection="0"/>
    <xf numFmtId="0" fontId="18" fillId="0" borderId="0" applyNumberFormat="0" applyFill="0" applyBorder="0" applyAlignment="0" applyProtection="0"/>
    <xf numFmtId="0" fontId="2" fillId="0" borderId="0" applyNumberFormat="0" applyFill="0" applyBorder="0" applyAlignment="0" applyProtection="0">
      <alignment vertical="top"/>
      <protection locked="0"/>
    </xf>
    <xf numFmtId="0" fontId="19" fillId="11" borderId="1" applyNumberFormat="0" applyAlignment="0" applyProtection="0"/>
    <xf numFmtId="0" fontId="20" fillId="0" borderId="6" applyNumberFormat="0" applyFill="0" applyAlignment="0" applyProtection="0"/>
    <xf numFmtId="0" fontId="21" fillId="5" borderId="0" applyNumberFormat="0" applyBorder="0" applyAlignment="0" applyProtection="0"/>
    <xf numFmtId="0" fontId="5" fillId="5" borderId="7" applyNumberFormat="0" applyFont="0" applyAlignment="0" applyProtection="0"/>
    <xf numFmtId="0" fontId="22" fillId="17" borderId="8" applyNumberFormat="0" applyAlignment="0" applyProtection="0"/>
    <xf numFmtId="9" fontId="1" fillId="0" borderId="0" applyFont="0" applyFill="0" applyBorder="0" applyAlignment="0" applyProtection="0"/>
    <xf numFmtId="0" fontId="23" fillId="0" borderId="0" applyNumberFormat="0" applyFill="0" applyBorder="0" applyAlignment="0" applyProtection="0"/>
    <xf numFmtId="0" fontId="24" fillId="0" borderId="9" applyNumberFormat="0" applyFill="0" applyAlignment="0" applyProtection="0"/>
    <xf numFmtId="0" fontId="25" fillId="0" borderId="0" applyNumberFormat="0" applyFill="0" applyBorder="0" applyAlignment="0" applyProtection="0"/>
  </cellStyleXfs>
  <cellXfs count="100">
    <xf numFmtId="0" fontId="0" fillId="0" borderId="0" xfId="0"/>
    <xf numFmtId="0" fontId="0" fillId="0" borderId="0" xfId="0" applyProtection="1"/>
    <xf numFmtId="0" fontId="0" fillId="20" borderId="0" xfId="0" applyFill="1" applyBorder="1" applyProtection="1"/>
    <xf numFmtId="0" fontId="0" fillId="0" borderId="0" xfId="0" applyFill="1" applyBorder="1" applyProtection="1"/>
    <xf numFmtId="0" fontId="0" fillId="0" borderId="0" xfId="0" applyFill="1" applyAlignment="1" applyProtection="1"/>
    <xf numFmtId="0" fontId="0" fillId="0" borderId="0" xfId="0" applyNumberFormat="1" applyFill="1" applyBorder="1" applyProtection="1"/>
    <xf numFmtId="0" fontId="0" fillId="0" borderId="0" xfId="0" applyNumberFormat="1" applyProtection="1"/>
    <xf numFmtId="0" fontId="7" fillId="0" borderId="0" xfId="0" applyNumberFormat="1" applyFont="1" applyAlignment="1" applyProtection="1">
      <protection locked="0"/>
    </xf>
    <xf numFmtId="0" fontId="2" fillId="0" borderId="0" xfId="34" applyAlignment="1" applyProtection="1">
      <alignment horizontal="left"/>
    </xf>
    <xf numFmtId="0" fontId="0" fillId="0" borderId="0" xfId="0" applyNumberFormat="1" applyFill="1" applyBorder="1" applyProtection="1">
      <protection locked="0"/>
    </xf>
    <xf numFmtId="0" fontId="0" fillId="0" borderId="0" xfId="0" applyProtection="1">
      <protection locked="0"/>
    </xf>
    <xf numFmtId="0" fontId="0" fillId="0" borderId="0" xfId="0" applyNumberFormat="1" applyProtection="1">
      <protection locked="0"/>
    </xf>
    <xf numFmtId="0" fontId="0" fillId="0" borderId="0" xfId="0" applyFill="1" applyBorder="1" applyProtection="1">
      <protection locked="0"/>
    </xf>
    <xf numFmtId="0" fontId="4" fillId="20" borderId="0" xfId="34" applyNumberFormat="1" applyFont="1" applyFill="1" applyAlignment="1" applyProtection="1">
      <alignment horizontal="right"/>
      <protection locked="0"/>
    </xf>
    <xf numFmtId="0" fontId="6" fillId="0" borderId="0" xfId="0" applyNumberFormat="1" applyFont="1" applyFill="1" applyBorder="1" applyAlignment="1" applyProtection="1">
      <alignment vertical="center"/>
      <protection locked="0"/>
    </xf>
    <xf numFmtId="0" fontId="1" fillId="0" borderId="0" xfId="0" applyFont="1" applyFill="1" applyAlignment="1" applyProtection="1"/>
    <xf numFmtId="0" fontId="29" fillId="0" borderId="0" xfId="0" applyNumberFormat="1" applyFont="1" applyFill="1" applyBorder="1" applyProtection="1"/>
    <xf numFmtId="0" fontId="29" fillId="0" borderId="0" xfId="0" applyFont="1" applyProtection="1"/>
    <xf numFmtId="0" fontId="29" fillId="0" borderId="0" xfId="0" applyNumberFormat="1" applyFont="1" applyProtection="1"/>
    <xf numFmtId="0" fontId="30" fillId="0" borderId="0" xfId="0" applyNumberFormat="1" applyFont="1" applyAlignment="1" applyProtection="1">
      <alignment vertical="center"/>
      <protection locked="0"/>
    </xf>
    <xf numFmtId="0" fontId="32" fillId="23" borderId="10" xfId="0" applyNumberFormat="1" applyFont="1" applyFill="1" applyBorder="1" applyAlignment="1" applyProtection="1">
      <alignment horizontal="left" vertical="center"/>
    </xf>
    <xf numFmtId="0" fontId="32" fillId="23" borderId="10" xfId="0" applyFont="1" applyFill="1" applyBorder="1" applyAlignment="1" applyProtection="1">
      <alignment vertical="center"/>
    </xf>
    <xf numFmtId="0" fontId="28" fillId="23" borderId="10" xfId="0" applyFont="1" applyFill="1" applyBorder="1" applyAlignment="1" applyProtection="1">
      <alignment vertical="center"/>
    </xf>
    <xf numFmtId="0" fontId="28" fillId="23" borderId="10" xfId="0" applyNumberFormat="1" applyFont="1" applyFill="1" applyBorder="1" applyAlignment="1" applyProtection="1">
      <alignment horizontal="center" vertical="center"/>
    </xf>
    <xf numFmtId="1" fontId="28" fillId="23" borderId="10" xfId="40" applyNumberFormat="1" applyFont="1" applyFill="1" applyBorder="1" applyAlignment="1" applyProtection="1">
      <alignment horizontal="center" vertical="center"/>
    </xf>
    <xf numFmtId="9" fontId="28" fillId="23" borderId="10" xfId="40" applyFont="1" applyFill="1" applyBorder="1" applyAlignment="1" applyProtection="1">
      <alignment horizontal="center" vertical="center"/>
    </xf>
    <xf numFmtId="0" fontId="28" fillId="0" borderId="10" xfId="0" applyNumberFormat="1" applyFont="1" applyFill="1" applyBorder="1" applyAlignment="1" applyProtection="1">
      <alignment horizontal="left" vertical="center"/>
    </xf>
    <xf numFmtId="0" fontId="28" fillId="0" borderId="10" xfId="0" applyFont="1" applyFill="1" applyBorder="1" applyAlignment="1" applyProtection="1">
      <alignment vertical="center"/>
    </xf>
    <xf numFmtId="1" fontId="33" fillId="25" borderId="12" xfId="0" applyNumberFormat="1" applyFont="1" applyFill="1" applyBorder="1" applyAlignment="1" applyProtection="1">
      <alignment horizontal="center" vertical="center"/>
    </xf>
    <xf numFmtId="9" fontId="33" fillId="25" borderId="12" xfId="40" applyFont="1" applyFill="1" applyBorder="1" applyAlignment="1" applyProtection="1">
      <alignment horizontal="center" vertical="center"/>
    </xf>
    <xf numFmtId="0" fontId="34" fillId="0" borderId="10" xfId="0" applyFont="1" applyFill="1" applyBorder="1" applyAlignment="1" applyProtection="1">
      <alignment vertical="center"/>
    </xf>
    <xf numFmtId="0" fontId="28" fillId="0" borderId="10" xfId="0" applyNumberFormat="1" applyFont="1" applyFill="1" applyBorder="1" applyAlignment="1" applyProtection="1">
      <alignment horizontal="center" vertical="center"/>
    </xf>
    <xf numFmtId="1" fontId="28" fillId="0" borderId="10" xfId="40" applyNumberFormat="1" applyFont="1" applyFill="1" applyBorder="1" applyAlignment="1" applyProtection="1">
      <alignment horizontal="center" vertical="center"/>
    </xf>
    <xf numFmtId="9" fontId="28" fillId="0" borderId="10" xfId="40" applyFont="1" applyFill="1" applyBorder="1" applyAlignment="1" applyProtection="1">
      <alignment horizontal="center" vertical="center"/>
    </xf>
    <xf numFmtId="0" fontId="28" fillId="0" borderId="0" xfId="0" applyFont="1" applyFill="1" applyBorder="1" applyAlignment="1" applyProtection="1">
      <alignment vertical="center"/>
    </xf>
    <xf numFmtId="0" fontId="35" fillId="22" borderId="0" xfId="0" applyFont="1" applyFill="1" applyBorder="1" applyAlignment="1" applyProtection="1">
      <alignment vertical="center"/>
    </xf>
    <xf numFmtId="0" fontId="31" fillId="23" borderId="0" xfId="0" applyFont="1" applyFill="1" applyAlignment="1" applyProtection="1">
      <alignment vertical="center"/>
    </xf>
    <xf numFmtId="0" fontId="36" fillId="22" borderId="0" xfId="0" applyFont="1" applyFill="1" applyBorder="1" applyAlignment="1" applyProtection="1">
      <alignment vertical="center"/>
    </xf>
    <xf numFmtId="0" fontId="37" fillId="23" borderId="0" xfId="0" applyFont="1" applyFill="1" applyAlignment="1" applyProtection="1">
      <alignment vertical="center"/>
    </xf>
    <xf numFmtId="0" fontId="37" fillId="0" borderId="0" xfId="0" applyFont="1" applyFill="1" applyBorder="1" applyAlignment="1" applyProtection="1">
      <alignment vertical="center"/>
    </xf>
    <xf numFmtId="0" fontId="33" fillId="21" borderId="11" xfId="0" applyFont="1" applyFill="1" applyBorder="1" applyAlignment="1" applyProtection="1">
      <alignment vertical="center"/>
    </xf>
    <xf numFmtId="0" fontId="33" fillId="0" borderId="12" xfId="0" quotePrefix="1" applyFont="1" applyFill="1" applyBorder="1" applyAlignment="1" applyProtection="1">
      <alignment horizontal="center" vertical="center"/>
    </xf>
    <xf numFmtId="0" fontId="33" fillId="0" borderId="12" xfId="0" applyFont="1" applyBorder="1" applyAlignment="1" applyProtection="1">
      <alignment vertical="center"/>
    </xf>
    <xf numFmtId="0" fontId="33" fillId="0" borderId="12" xfId="0" applyFont="1" applyBorder="1" applyAlignment="1" applyProtection="1">
      <alignment horizontal="left" vertical="center"/>
    </xf>
    <xf numFmtId="166" fontId="3" fillId="0" borderId="13" xfId="0" applyNumberFormat="1" applyFont="1" applyFill="1" applyBorder="1" applyAlignment="1" applyProtection="1">
      <alignment horizontal="center" vertical="center" shrinkToFit="1"/>
    </xf>
    <xf numFmtId="0" fontId="32" fillId="23" borderId="14" xfId="0" applyNumberFormat="1" applyFont="1" applyFill="1" applyBorder="1" applyAlignment="1" applyProtection="1">
      <alignment horizontal="left" vertical="center"/>
    </xf>
    <xf numFmtId="0" fontId="32" fillId="23" borderId="14" xfId="0" applyFont="1" applyFill="1" applyBorder="1" applyAlignment="1" applyProtection="1">
      <alignment vertical="center"/>
    </xf>
    <xf numFmtId="0" fontId="28" fillId="23" borderId="14" xfId="0" applyFont="1" applyFill="1" applyBorder="1" applyAlignment="1" applyProtection="1">
      <alignment vertical="center"/>
    </xf>
    <xf numFmtId="0" fontId="28" fillId="23" borderId="14" xfId="0" applyNumberFormat="1" applyFont="1" applyFill="1" applyBorder="1" applyAlignment="1" applyProtection="1">
      <alignment horizontal="center" vertical="center"/>
    </xf>
    <xf numFmtId="165" fontId="28" fillId="23" borderId="14" xfId="0" applyNumberFormat="1" applyFont="1" applyFill="1" applyBorder="1" applyAlignment="1" applyProtection="1">
      <alignment horizontal="right" vertical="center"/>
    </xf>
    <xf numFmtId="1" fontId="28" fillId="23" borderId="14" xfId="40" applyNumberFormat="1" applyFont="1" applyFill="1" applyBorder="1" applyAlignment="1" applyProtection="1">
      <alignment horizontal="center" vertical="center"/>
    </xf>
    <xf numFmtId="9" fontId="28" fillId="23" borderId="14" xfId="40" applyFont="1" applyFill="1" applyBorder="1" applyAlignment="1" applyProtection="1">
      <alignment horizontal="center" vertical="center"/>
    </xf>
    <xf numFmtId="166" fontId="3" fillId="0" borderId="16" xfId="0" applyNumberFormat="1" applyFont="1" applyFill="1" applyBorder="1" applyAlignment="1" applyProtection="1">
      <alignment horizontal="center" vertical="center" shrinkToFit="1"/>
    </xf>
    <xf numFmtId="166" fontId="3" fillId="0" borderId="17" xfId="0" applyNumberFormat="1" applyFont="1" applyFill="1" applyBorder="1" applyAlignment="1" applyProtection="1">
      <alignment horizontal="center" vertical="center" shrinkToFit="1"/>
    </xf>
    <xf numFmtId="1" fontId="39" fillId="23" borderId="14" xfId="0" applyNumberFormat="1" applyFont="1" applyFill="1" applyBorder="1" applyAlignment="1" applyProtection="1">
      <alignment horizontal="center" vertical="center"/>
    </xf>
    <xf numFmtId="1" fontId="40" fillId="0" borderId="12" xfId="0" applyNumberFormat="1" applyFont="1" applyBorder="1" applyAlignment="1" applyProtection="1">
      <alignment horizontal="center" vertical="center"/>
    </xf>
    <xf numFmtId="1" fontId="39" fillId="23" borderId="10" xfId="0" applyNumberFormat="1" applyFont="1" applyFill="1" applyBorder="1" applyAlignment="1" applyProtection="1">
      <alignment horizontal="center" vertical="center"/>
    </xf>
    <xf numFmtId="1" fontId="39" fillId="0" borderId="10" xfId="0" applyNumberFormat="1" applyFont="1" applyFill="1" applyBorder="1" applyAlignment="1" applyProtection="1">
      <alignment horizontal="center" vertical="center"/>
    </xf>
    <xf numFmtId="0" fontId="39" fillId="23" borderId="0" xfId="0" applyFont="1" applyFill="1" applyAlignment="1" applyProtection="1">
      <alignment vertical="center"/>
    </xf>
    <xf numFmtId="1" fontId="40" fillId="0" borderId="12" xfId="0" applyNumberFormat="1" applyFont="1" applyFill="1" applyBorder="1" applyAlignment="1" applyProtection="1">
      <alignment horizontal="center" vertical="center"/>
    </xf>
    <xf numFmtId="165" fontId="33" fillId="24" borderId="12" xfId="0" applyNumberFormat="1" applyFont="1" applyFill="1" applyBorder="1" applyAlignment="1" applyProtection="1">
      <alignment horizontal="center" vertical="center"/>
    </xf>
    <xf numFmtId="165" fontId="33" fillId="0" borderId="12" xfId="0" applyNumberFormat="1" applyFont="1" applyBorder="1" applyAlignment="1" applyProtection="1">
      <alignment horizontal="center" vertical="center"/>
    </xf>
    <xf numFmtId="165" fontId="28" fillId="23" borderId="10" xfId="0" applyNumberFormat="1" applyFont="1" applyFill="1" applyBorder="1" applyAlignment="1" applyProtection="1">
      <alignment horizontal="center" vertical="center"/>
    </xf>
    <xf numFmtId="0" fontId="34" fillId="0" borderId="10" xfId="0" applyFont="1" applyFill="1" applyBorder="1" applyAlignment="1" applyProtection="1">
      <alignment horizontal="center" vertical="center"/>
    </xf>
    <xf numFmtId="0" fontId="36" fillId="22" borderId="0" xfId="0" applyFont="1" applyFill="1" applyBorder="1" applyAlignment="1" applyProtection="1">
      <alignment horizontal="center" vertical="center"/>
    </xf>
    <xf numFmtId="0" fontId="28" fillId="23" borderId="14" xfId="0" applyFont="1" applyFill="1" applyBorder="1" applyAlignment="1" applyProtection="1">
      <alignment horizontal="left" vertical="center"/>
    </xf>
    <xf numFmtId="0" fontId="28" fillId="0" borderId="10" xfId="0" applyFont="1" applyFill="1" applyBorder="1" applyAlignment="1" applyProtection="1">
      <alignment horizontal="left" vertical="center"/>
    </xf>
    <xf numFmtId="0" fontId="28" fillId="23" borderId="10" xfId="0" applyFont="1" applyFill="1" applyBorder="1" applyAlignment="1" applyProtection="1">
      <alignment horizontal="left" vertical="center"/>
    </xf>
    <xf numFmtId="0" fontId="41" fillId="0" borderId="0" xfId="0" applyNumberFormat="1" applyFont="1" applyFill="1" applyBorder="1" applyProtection="1"/>
    <xf numFmtId="0" fontId="41" fillId="0" borderId="0" xfId="0" applyFont="1" applyFill="1" applyBorder="1" applyProtection="1"/>
    <xf numFmtId="0" fontId="41" fillId="0" borderId="0" xfId="0" applyFont="1" applyProtection="1"/>
    <xf numFmtId="0" fontId="41" fillId="0" borderId="0" xfId="0" applyFont="1" applyFill="1" applyAlignment="1" applyProtection="1">
      <alignment horizontal="right" vertical="center"/>
    </xf>
    <xf numFmtId="165" fontId="28" fillId="23" borderId="14" xfId="0" applyNumberFormat="1" applyFont="1" applyFill="1" applyBorder="1" applyAlignment="1" applyProtection="1">
      <alignment horizontal="center" vertical="center"/>
    </xf>
    <xf numFmtId="0" fontId="42" fillId="0" borderId="18" xfId="0" applyNumberFormat="1" applyFont="1" applyFill="1" applyBorder="1" applyAlignment="1" applyProtection="1">
      <alignment horizontal="left" vertical="center"/>
    </xf>
    <xf numFmtId="0" fontId="42" fillId="0" borderId="18" xfId="0" applyFont="1" applyFill="1" applyBorder="1" applyAlignment="1" applyProtection="1">
      <alignment horizontal="left" vertical="center"/>
    </xf>
    <xf numFmtId="0" fontId="42" fillId="0" borderId="18" xfId="0" applyFont="1" applyFill="1" applyBorder="1" applyAlignment="1" applyProtection="1">
      <alignment horizontal="center" vertical="center" wrapText="1"/>
    </xf>
    <xf numFmtId="0" fontId="43" fillId="0" borderId="18" xfId="0" applyNumberFormat="1" applyFont="1" applyFill="1" applyBorder="1" applyAlignment="1" applyProtection="1">
      <alignment horizontal="center" vertical="center" wrapText="1"/>
    </xf>
    <xf numFmtId="0" fontId="42" fillId="0" borderId="18" xfId="0" applyFont="1" applyFill="1" applyBorder="1" applyAlignment="1" applyProtection="1">
      <alignment horizontal="center" vertical="center"/>
    </xf>
    <xf numFmtId="0" fontId="28" fillId="0" borderId="19" xfId="0" applyNumberFormat="1" applyFont="1" applyFill="1" applyBorder="1" applyAlignment="1" applyProtection="1">
      <alignment horizontal="center" vertical="center" shrinkToFit="1"/>
    </xf>
    <xf numFmtId="0" fontId="28" fillId="0" borderId="20" xfId="0" applyNumberFormat="1" applyFont="1" applyFill="1" applyBorder="1" applyAlignment="1" applyProtection="1">
      <alignment horizontal="center" vertical="center" shrinkToFit="1"/>
    </xf>
    <xf numFmtId="0" fontId="28" fillId="0" borderId="21" xfId="0" applyNumberFormat="1" applyFont="1" applyFill="1" applyBorder="1" applyAlignment="1" applyProtection="1">
      <alignment horizontal="center" vertical="center" shrinkToFit="1"/>
    </xf>
    <xf numFmtId="0" fontId="1" fillId="0" borderId="0" xfId="0" applyFont="1" applyFill="1" applyBorder="1" applyAlignment="1" applyProtection="1"/>
    <xf numFmtId="0" fontId="44" fillId="0" borderId="0" xfId="0" applyNumberFormat="1" applyFont="1" applyFill="1" applyBorder="1" applyAlignment="1" applyProtection="1">
      <alignment vertical="center"/>
      <protection locked="0"/>
    </xf>
    <xf numFmtId="0" fontId="28" fillId="0" borderId="10" xfId="0" applyFont="1" applyFill="1" applyBorder="1" applyAlignment="1" applyProtection="1">
      <alignment vertical="center" wrapText="1"/>
    </xf>
    <xf numFmtId="0" fontId="33" fillId="0" borderId="12" xfId="0" applyFont="1" applyFill="1" applyBorder="1" applyAlignment="1" applyProtection="1">
      <alignment horizontal="center" vertical="center"/>
    </xf>
    <xf numFmtId="0" fontId="31" fillId="0" borderId="22" xfId="0" applyNumberFormat="1" applyFont="1" applyFill="1" applyBorder="1" applyAlignment="1" applyProtection="1">
      <alignment horizontal="center" vertical="center"/>
      <protection locked="0"/>
    </xf>
    <xf numFmtId="0" fontId="32" fillId="0" borderId="10" xfId="0" applyNumberFormat="1" applyFont="1" applyFill="1" applyBorder="1" applyAlignment="1" applyProtection="1">
      <alignment horizontal="left" vertical="center"/>
    </xf>
    <xf numFmtId="0" fontId="45" fillId="21" borderId="11" xfId="0" applyFont="1" applyFill="1" applyBorder="1" applyAlignment="1" applyProtection="1">
      <alignment vertical="center"/>
    </xf>
    <xf numFmtId="0" fontId="8" fillId="0" borderId="0" xfId="0" applyFont="1" applyAlignment="1" applyProtection="1">
      <protection locked="0"/>
    </xf>
    <xf numFmtId="14" fontId="34" fillId="0" borderId="10" xfId="0" applyNumberFormat="1" applyFont="1" applyFill="1" applyBorder="1" applyAlignment="1" applyProtection="1">
      <alignment horizontal="center" vertical="center"/>
    </xf>
    <xf numFmtId="1" fontId="33" fillId="25" borderId="12" xfId="0" applyNumberFormat="1" applyFont="1" applyFill="1" applyBorder="1" applyAlignment="1">
      <alignment horizontal="center" vertical="center"/>
    </xf>
    <xf numFmtId="0" fontId="46" fillId="0" borderId="0" xfId="34" applyFont="1" applyBorder="1" applyAlignment="1" applyProtection="1">
      <alignment horizontal="left" vertical="center"/>
    </xf>
    <xf numFmtId="164" fontId="31" fillId="0" borderId="15" xfId="0" applyNumberFormat="1" applyFont="1" applyFill="1" applyBorder="1" applyAlignment="1" applyProtection="1">
      <alignment horizontal="center" vertical="center" shrinkToFit="1"/>
      <protection locked="0"/>
    </xf>
    <xf numFmtId="0" fontId="38" fillId="0" borderId="16" xfId="0" applyNumberFormat="1" applyFont="1" applyFill="1" applyBorder="1" applyAlignment="1" applyProtection="1">
      <alignment horizontal="center" vertical="center"/>
    </xf>
    <xf numFmtId="0" fontId="38" fillId="0" borderId="13" xfId="0" applyNumberFormat="1" applyFont="1" applyFill="1" applyBorder="1" applyAlignment="1" applyProtection="1">
      <alignment horizontal="center" vertical="center"/>
    </xf>
    <xf numFmtId="0" fontId="38" fillId="0" borderId="17" xfId="0" applyNumberFormat="1" applyFont="1" applyFill="1" applyBorder="1" applyAlignment="1" applyProtection="1">
      <alignment horizontal="center" vertical="center"/>
    </xf>
    <xf numFmtId="164" fontId="31" fillId="0" borderId="22" xfId="0" applyNumberFormat="1" applyFont="1" applyFill="1" applyBorder="1" applyAlignment="1" applyProtection="1">
      <alignment horizontal="center" vertical="center" shrinkToFit="1"/>
      <protection locked="0"/>
    </xf>
    <xf numFmtId="167" fontId="31" fillId="0" borderId="16" xfId="0" applyNumberFormat="1" applyFont="1" applyFill="1" applyBorder="1" applyAlignment="1" applyProtection="1">
      <alignment horizontal="center" vertical="center"/>
    </xf>
    <xf numFmtId="167" fontId="31" fillId="0" borderId="13" xfId="0" applyNumberFormat="1" applyFont="1" applyFill="1" applyBorder="1" applyAlignment="1" applyProtection="1">
      <alignment horizontal="center" vertical="center"/>
    </xf>
    <xf numFmtId="167" fontId="31" fillId="0" borderId="17" xfId="0" applyNumberFormat="1" applyFont="1" applyFill="1" applyBorder="1" applyAlignment="1" applyProtection="1">
      <alignment horizontal="center" vertical="center"/>
    </xf>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4">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4" horiz="1" max="100" min="1" page="0"/>
</file>

<file path=xl/drawings/drawing1.xml><?xml version="1.0" encoding="utf-8"?>
<xdr:wsDr xmlns:xdr="http://schemas.openxmlformats.org/drawingml/2006/spreadsheetDrawing" xmlns:a="http://schemas.openxmlformats.org/drawingml/2006/main">
  <xdr:twoCellAnchor editAs="absolute">
    <xdr:from>
      <xdr:col>9</xdr:col>
      <xdr:colOff>139700</xdr:colOff>
      <xdr:row>5</xdr:row>
      <xdr:rowOff>142875</xdr:rowOff>
    </xdr:from>
    <xdr:to>
      <xdr:col>31</xdr:col>
      <xdr:colOff>3175</xdr:colOff>
      <xdr:row>10</xdr:row>
      <xdr:rowOff>80433</xdr:rowOff>
    </xdr:to>
    <xdr:sp macro="" textlink="">
      <xdr:nvSpPr>
        <xdr:cNvPr id="8236" name="Text Box 44" hidden="1">
          <a:extLst>
            <a:ext uri="{FF2B5EF4-FFF2-40B4-BE49-F238E27FC236}">
              <a16:creationId xmlns:a16="http://schemas.microsoft.com/office/drawing/2014/main" id="{00000000-0008-0000-0000-00002C200000}"/>
            </a:ext>
          </a:extLst>
        </xdr:cNvPr>
        <xdr:cNvSpPr txBox="1">
          <a:spLocks noChangeArrowheads="1"/>
        </xdr:cNvSpPr>
      </xdr:nvSpPr>
      <xdr:spPr bwMode="auto">
        <a:xfrm>
          <a:off x="4953000" y="1371600"/>
          <a:ext cx="3419475" cy="11049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8</xdr:col>
          <xdr:colOff>99060</xdr:colOff>
          <xdr:row>1</xdr:row>
          <xdr:rowOff>129540</xdr:rowOff>
        </xdr:from>
        <xdr:to>
          <xdr:col>26</xdr:col>
          <xdr:colOff>114300</xdr:colOff>
          <xdr:row>2</xdr:row>
          <xdr:rowOff>114300</xdr:rowOff>
        </xdr:to>
        <xdr:sp macro="" textlink="">
          <xdr:nvSpPr>
            <xdr:cNvPr id="8238" name="Scroll Bar 46" hidden="1">
              <a:extLst>
                <a:ext uri="{63B3BB69-23CF-44E3-9099-C40C66FF867C}">
                  <a14:compatExt spid="_x0000_s8238"/>
                </a:ext>
                <a:ext uri="{FF2B5EF4-FFF2-40B4-BE49-F238E27FC236}">
                  <a16:creationId xmlns:a16="http://schemas.microsoft.com/office/drawing/2014/main" id="{00000000-0008-0000-0000-00002E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pageSetUpPr fitToPage="1"/>
  </sheetPr>
  <dimension ref="A1:BM26"/>
  <sheetViews>
    <sheetView showGridLines="0" tabSelected="1" zoomScaleNormal="100" workbookViewId="0">
      <pane ySplit="7" topLeftCell="A11" activePane="bottomLeft" state="frozen"/>
      <selection pane="bottomLeft" activeCell="B17" sqref="B17"/>
    </sheetView>
  </sheetViews>
  <sheetFormatPr defaultColWidth="9.109375" defaultRowHeight="13.2" x14ac:dyDescent="0.25"/>
  <cols>
    <col min="1" max="1" width="6.77734375" style="5" customWidth="1"/>
    <col min="2" max="2" width="19" style="1" customWidth="1"/>
    <col min="3" max="3" width="7.6640625" style="1" customWidth="1"/>
    <col min="4" max="4" width="6.77734375" style="6" hidden="1" customWidth="1"/>
    <col min="5" max="6" width="12" style="1" customWidth="1"/>
    <col min="7" max="7" width="6" style="1" customWidth="1"/>
    <col min="8" max="8" width="6.6640625" style="1" customWidth="1"/>
    <col min="9" max="9" width="1.77734375" style="1" customWidth="1"/>
    <col min="10" max="65" width="2.44140625" style="1" customWidth="1"/>
    <col min="66" max="16384" width="9.109375" style="3"/>
  </cols>
  <sheetData>
    <row r="1" spans="1:65" ht="30" customHeight="1" x14ac:dyDescent="0.25">
      <c r="A1" s="82" t="s">
        <v>17</v>
      </c>
      <c r="B1" s="14"/>
      <c r="C1" s="14"/>
      <c r="D1" s="14"/>
      <c r="E1" s="14"/>
      <c r="F1" s="14"/>
      <c r="J1" s="91"/>
      <c r="K1" s="91"/>
      <c r="L1" s="91"/>
      <c r="M1" s="91"/>
      <c r="N1" s="91"/>
      <c r="O1" s="91"/>
      <c r="P1" s="91"/>
      <c r="Q1" s="91"/>
      <c r="R1" s="91"/>
      <c r="S1" s="91"/>
      <c r="T1" s="91"/>
      <c r="U1" s="91"/>
      <c r="V1" s="91"/>
      <c r="W1" s="91"/>
      <c r="X1" s="91"/>
      <c r="Y1" s="91"/>
      <c r="Z1" s="91"/>
      <c r="AA1" s="91"/>
      <c r="AB1" s="91"/>
      <c r="AC1" s="91"/>
      <c r="AD1" s="91"/>
    </row>
    <row r="2" spans="1:65" ht="18" customHeight="1" x14ac:dyDescent="0.25">
      <c r="A2" s="19"/>
      <c r="B2" s="7"/>
      <c r="C2" s="7"/>
      <c r="D2" s="13"/>
      <c r="E2" s="88"/>
      <c r="F2" s="88"/>
      <c r="H2" s="2"/>
    </row>
    <row r="3" spans="1:65" ht="13.8" x14ac:dyDescent="0.25">
      <c r="A3" s="19"/>
      <c r="B3" s="15"/>
      <c r="C3" s="4"/>
      <c r="D3" s="4"/>
      <c r="E3" s="4"/>
      <c r="F3" s="4"/>
      <c r="G3" s="4"/>
      <c r="H3" s="2"/>
      <c r="J3" s="8"/>
      <c r="K3" s="8"/>
      <c r="L3" s="8"/>
      <c r="M3" s="8"/>
      <c r="N3" s="8"/>
      <c r="O3" s="8"/>
      <c r="P3" s="8"/>
      <c r="Q3" s="8"/>
      <c r="R3" s="8"/>
      <c r="S3" s="8"/>
      <c r="T3" s="8"/>
      <c r="U3" s="8"/>
      <c r="V3" s="8"/>
      <c r="W3" s="8"/>
      <c r="X3" s="8"/>
      <c r="Y3" s="8"/>
      <c r="Z3" s="8"/>
    </row>
    <row r="4" spans="1:65" ht="17.25" customHeight="1" x14ac:dyDescent="0.25">
      <c r="A4" s="68"/>
      <c r="B4" s="71" t="s">
        <v>14</v>
      </c>
      <c r="C4" s="96">
        <v>43647</v>
      </c>
      <c r="D4" s="96"/>
      <c r="E4" s="96"/>
      <c r="F4" s="69"/>
      <c r="G4" s="71" t="s">
        <v>13</v>
      </c>
      <c r="H4" s="85">
        <v>1</v>
      </c>
      <c r="I4" s="17"/>
      <c r="J4" s="93" t="str">
        <f>"Week "&amp;(J6-($C$4-WEEKDAY($C$4,1)+2))/7+1</f>
        <v>Week 1</v>
      </c>
      <c r="K4" s="94"/>
      <c r="L4" s="94"/>
      <c r="M4" s="94"/>
      <c r="N4" s="94"/>
      <c r="O4" s="94"/>
      <c r="P4" s="95"/>
      <c r="Q4" s="93" t="str">
        <f>"Week "&amp;(Q6-($C$4-WEEKDAY($C$4,1)+2))/7+1</f>
        <v>Week 2</v>
      </c>
      <c r="R4" s="94"/>
      <c r="S4" s="94"/>
      <c r="T4" s="94"/>
      <c r="U4" s="94"/>
      <c r="V4" s="94"/>
      <c r="W4" s="95"/>
      <c r="X4" s="93" t="str">
        <f>"Week "&amp;(X6-($C$4-WEEKDAY($C$4,1)+2))/7+1</f>
        <v>Week 3</v>
      </c>
      <c r="Y4" s="94"/>
      <c r="Z4" s="94"/>
      <c r="AA4" s="94"/>
      <c r="AB4" s="94"/>
      <c r="AC4" s="94"/>
      <c r="AD4" s="95"/>
      <c r="AE4" s="93" t="str">
        <f>"Week "&amp;(AE6-($C$4-WEEKDAY($C$4,1)+2))/7+1</f>
        <v>Week 4</v>
      </c>
      <c r="AF4" s="94"/>
      <c r="AG4" s="94"/>
      <c r="AH4" s="94"/>
      <c r="AI4" s="94"/>
      <c r="AJ4" s="94"/>
      <c r="AK4" s="95"/>
      <c r="AL4" s="93" t="str">
        <f>"Week "&amp;(AL6-($C$4-WEEKDAY($C$4,1)+2))/7+1</f>
        <v>Week 5</v>
      </c>
      <c r="AM4" s="94"/>
      <c r="AN4" s="94"/>
      <c r="AO4" s="94"/>
      <c r="AP4" s="94"/>
      <c r="AQ4" s="94"/>
      <c r="AR4" s="95"/>
      <c r="AS4" s="93" t="str">
        <f>"Week "&amp;(AS6-($C$4-WEEKDAY($C$4,1)+2))/7+1</f>
        <v>Week 6</v>
      </c>
      <c r="AT4" s="94"/>
      <c r="AU4" s="94"/>
      <c r="AV4" s="94"/>
      <c r="AW4" s="94"/>
      <c r="AX4" s="94"/>
      <c r="AY4" s="95"/>
      <c r="AZ4" s="93" t="str">
        <f>"Week "&amp;(AZ6-($C$4-WEEKDAY($C$4,1)+2))/7+1</f>
        <v>Week 7</v>
      </c>
      <c r="BA4" s="94"/>
      <c r="BB4" s="94"/>
      <c r="BC4" s="94"/>
      <c r="BD4" s="94"/>
      <c r="BE4" s="94"/>
      <c r="BF4" s="95"/>
      <c r="BG4" s="93" t="str">
        <f>"Week "&amp;(BG6-($C$4-WEEKDAY($C$4,1)+2))/7+1</f>
        <v>Week 8</v>
      </c>
      <c r="BH4" s="94"/>
      <c r="BI4" s="94"/>
      <c r="BJ4" s="94"/>
      <c r="BK4" s="94"/>
      <c r="BL4" s="94"/>
      <c r="BM4" s="95"/>
    </row>
    <row r="5" spans="1:65" ht="17.25" customHeight="1" x14ac:dyDescent="0.25">
      <c r="A5" s="68"/>
      <c r="B5" s="71" t="s">
        <v>15</v>
      </c>
      <c r="C5" s="92"/>
      <c r="D5" s="92"/>
      <c r="E5" s="92"/>
      <c r="F5" s="70"/>
      <c r="G5" s="70"/>
      <c r="H5" s="70"/>
      <c r="I5" s="17"/>
      <c r="J5" s="97">
        <f>J6</f>
        <v>43647</v>
      </c>
      <c r="K5" s="98"/>
      <c r="L5" s="98"/>
      <c r="M5" s="98"/>
      <c r="N5" s="98"/>
      <c r="O5" s="98"/>
      <c r="P5" s="99"/>
      <c r="Q5" s="97">
        <f>Q6</f>
        <v>43654</v>
      </c>
      <c r="R5" s="98"/>
      <c r="S5" s="98"/>
      <c r="T5" s="98"/>
      <c r="U5" s="98"/>
      <c r="V5" s="98"/>
      <c r="W5" s="99"/>
      <c r="X5" s="97">
        <f>X6</f>
        <v>43661</v>
      </c>
      <c r="Y5" s="98"/>
      <c r="Z5" s="98"/>
      <c r="AA5" s="98"/>
      <c r="AB5" s="98"/>
      <c r="AC5" s="98"/>
      <c r="AD5" s="99"/>
      <c r="AE5" s="97">
        <f>AE6</f>
        <v>43668</v>
      </c>
      <c r="AF5" s="98"/>
      <c r="AG5" s="98"/>
      <c r="AH5" s="98"/>
      <c r="AI5" s="98"/>
      <c r="AJ5" s="98"/>
      <c r="AK5" s="99"/>
      <c r="AL5" s="97">
        <f>AL6</f>
        <v>43675</v>
      </c>
      <c r="AM5" s="98"/>
      <c r="AN5" s="98"/>
      <c r="AO5" s="98"/>
      <c r="AP5" s="98"/>
      <c r="AQ5" s="98"/>
      <c r="AR5" s="99"/>
      <c r="AS5" s="97">
        <f>AS6</f>
        <v>43682</v>
      </c>
      <c r="AT5" s="98"/>
      <c r="AU5" s="98"/>
      <c r="AV5" s="98"/>
      <c r="AW5" s="98"/>
      <c r="AX5" s="98"/>
      <c r="AY5" s="99"/>
      <c r="AZ5" s="97">
        <f>AZ6</f>
        <v>43689</v>
      </c>
      <c r="BA5" s="98"/>
      <c r="BB5" s="98"/>
      <c r="BC5" s="98"/>
      <c r="BD5" s="98"/>
      <c r="BE5" s="98"/>
      <c r="BF5" s="99"/>
      <c r="BG5" s="97">
        <f>BG6</f>
        <v>43696</v>
      </c>
      <c r="BH5" s="98"/>
      <c r="BI5" s="98"/>
      <c r="BJ5" s="98"/>
      <c r="BK5" s="98"/>
      <c r="BL5" s="98"/>
      <c r="BM5" s="99"/>
    </row>
    <row r="6" spans="1:65" x14ac:dyDescent="0.25">
      <c r="A6" s="16"/>
      <c r="B6" s="17"/>
      <c r="C6" s="17"/>
      <c r="D6" s="18"/>
      <c r="E6" s="17"/>
      <c r="F6" s="17"/>
      <c r="G6" s="17"/>
      <c r="H6" s="17"/>
      <c r="I6" s="17"/>
      <c r="J6" s="52">
        <f>C4-WEEKDAY(C4,1)+2+7*(H4-1)</f>
        <v>43647</v>
      </c>
      <c r="K6" s="44">
        <f t="shared" ref="K6:AP6" si="0">J6+1</f>
        <v>43648</v>
      </c>
      <c r="L6" s="44">
        <f t="shared" si="0"/>
        <v>43649</v>
      </c>
      <c r="M6" s="44">
        <f t="shared" si="0"/>
        <v>43650</v>
      </c>
      <c r="N6" s="44">
        <f t="shared" si="0"/>
        <v>43651</v>
      </c>
      <c r="O6" s="44">
        <f t="shared" si="0"/>
        <v>43652</v>
      </c>
      <c r="P6" s="53">
        <f t="shared" si="0"/>
        <v>43653</v>
      </c>
      <c r="Q6" s="52">
        <f t="shared" si="0"/>
        <v>43654</v>
      </c>
      <c r="R6" s="44">
        <f t="shared" si="0"/>
        <v>43655</v>
      </c>
      <c r="S6" s="44">
        <f t="shared" si="0"/>
        <v>43656</v>
      </c>
      <c r="T6" s="44">
        <f t="shared" si="0"/>
        <v>43657</v>
      </c>
      <c r="U6" s="44">
        <f t="shared" si="0"/>
        <v>43658</v>
      </c>
      <c r="V6" s="44">
        <f t="shared" si="0"/>
        <v>43659</v>
      </c>
      <c r="W6" s="53">
        <f t="shared" si="0"/>
        <v>43660</v>
      </c>
      <c r="X6" s="52">
        <f t="shared" si="0"/>
        <v>43661</v>
      </c>
      <c r="Y6" s="44">
        <f t="shared" si="0"/>
        <v>43662</v>
      </c>
      <c r="Z6" s="44">
        <f t="shared" si="0"/>
        <v>43663</v>
      </c>
      <c r="AA6" s="44">
        <f t="shared" si="0"/>
        <v>43664</v>
      </c>
      <c r="AB6" s="44">
        <f t="shared" si="0"/>
        <v>43665</v>
      </c>
      <c r="AC6" s="44">
        <f t="shared" si="0"/>
        <v>43666</v>
      </c>
      <c r="AD6" s="53">
        <f t="shared" si="0"/>
        <v>43667</v>
      </c>
      <c r="AE6" s="52">
        <f t="shared" si="0"/>
        <v>43668</v>
      </c>
      <c r="AF6" s="44">
        <f t="shared" si="0"/>
        <v>43669</v>
      </c>
      <c r="AG6" s="44">
        <f t="shared" si="0"/>
        <v>43670</v>
      </c>
      <c r="AH6" s="44">
        <f t="shared" si="0"/>
        <v>43671</v>
      </c>
      <c r="AI6" s="44">
        <f t="shared" si="0"/>
        <v>43672</v>
      </c>
      <c r="AJ6" s="44">
        <f t="shared" si="0"/>
        <v>43673</v>
      </c>
      <c r="AK6" s="53">
        <f t="shared" si="0"/>
        <v>43674</v>
      </c>
      <c r="AL6" s="52">
        <f t="shared" si="0"/>
        <v>43675</v>
      </c>
      <c r="AM6" s="44">
        <f t="shared" si="0"/>
        <v>43676</v>
      </c>
      <c r="AN6" s="44">
        <f t="shared" si="0"/>
        <v>43677</v>
      </c>
      <c r="AO6" s="44">
        <f t="shared" si="0"/>
        <v>43678</v>
      </c>
      <c r="AP6" s="44">
        <f t="shared" si="0"/>
        <v>43679</v>
      </c>
      <c r="AQ6" s="44">
        <f t="shared" ref="AQ6:BM6" si="1">AP6+1</f>
        <v>43680</v>
      </c>
      <c r="AR6" s="53">
        <f t="shared" si="1"/>
        <v>43681</v>
      </c>
      <c r="AS6" s="52">
        <f t="shared" si="1"/>
        <v>43682</v>
      </c>
      <c r="AT6" s="44">
        <f t="shared" si="1"/>
        <v>43683</v>
      </c>
      <c r="AU6" s="44">
        <f t="shared" si="1"/>
        <v>43684</v>
      </c>
      <c r="AV6" s="44">
        <f t="shared" si="1"/>
        <v>43685</v>
      </c>
      <c r="AW6" s="44">
        <f t="shared" si="1"/>
        <v>43686</v>
      </c>
      <c r="AX6" s="44">
        <f t="shared" si="1"/>
        <v>43687</v>
      </c>
      <c r="AY6" s="53">
        <f t="shared" si="1"/>
        <v>43688</v>
      </c>
      <c r="AZ6" s="52">
        <f t="shared" si="1"/>
        <v>43689</v>
      </c>
      <c r="BA6" s="44">
        <f t="shared" si="1"/>
        <v>43690</v>
      </c>
      <c r="BB6" s="44">
        <f t="shared" si="1"/>
        <v>43691</v>
      </c>
      <c r="BC6" s="44">
        <f t="shared" si="1"/>
        <v>43692</v>
      </c>
      <c r="BD6" s="44">
        <f t="shared" si="1"/>
        <v>43693</v>
      </c>
      <c r="BE6" s="44">
        <f t="shared" si="1"/>
        <v>43694</v>
      </c>
      <c r="BF6" s="53">
        <f t="shared" si="1"/>
        <v>43695</v>
      </c>
      <c r="BG6" s="52">
        <f t="shared" si="1"/>
        <v>43696</v>
      </c>
      <c r="BH6" s="44">
        <f t="shared" si="1"/>
        <v>43697</v>
      </c>
      <c r="BI6" s="44">
        <f t="shared" si="1"/>
        <v>43698</v>
      </c>
      <c r="BJ6" s="44">
        <f t="shared" si="1"/>
        <v>43699</v>
      </c>
      <c r="BK6" s="44">
        <f t="shared" si="1"/>
        <v>43700</v>
      </c>
      <c r="BL6" s="44">
        <f t="shared" si="1"/>
        <v>43701</v>
      </c>
      <c r="BM6" s="53">
        <f t="shared" si="1"/>
        <v>43702</v>
      </c>
    </row>
    <row r="7" spans="1:65" s="81" customFormat="1" ht="24.6" thickBot="1" x14ac:dyDescent="0.3">
      <c r="A7" s="73" t="s">
        <v>0</v>
      </c>
      <c r="B7" s="74" t="s">
        <v>6</v>
      </c>
      <c r="C7" s="75" t="s">
        <v>7</v>
      </c>
      <c r="D7" s="76" t="s">
        <v>12</v>
      </c>
      <c r="E7" s="77" t="s">
        <v>8</v>
      </c>
      <c r="F7" s="77" t="s">
        <v>9</v>
      </c>
      <c r="G7" s="75" t="s">
        <v>10</v>
      </c>
      <c r="H7" s="75" t="s">
        <v>11</v>
      </c>
      <c r="I7" s="75"/>
      <c r="J7" s="78" t="str">
        <f t="shared" ref="J7:AO7" si="2">CHOOSE(WEEKDAY(J6,1),"S","M","T","W","T","F","S")</f>
        <v>M</v>
      </c>
      <c r="K7" s="79" t="str">
        <f t="shared" si="2"/>
        <v>T</v>
      </c>
      <c r="L7" s="79" t="str">
        <f t="shared" si="2"/>
        <v>W</v>
      </c>
      <c r="M7" s="79" t="str">
        <f t="shared" si="2"/>
        <v>T</v>
      </c>
      <c r="N7" s="79" t="str">
        <f t="shared" si="2"/>
        <v>F</v>
      </c>
      <c r="O7" s="79" t="str">
        <f t="shared" si="2"/>
        <v>S</v>
      </c>
      <c r="P7" s="80" t="str">
        <f t="shared" si="2"/>
        <v>S</v>
      </c>
      <c r="Q7" s="78" t="str">
        <f t="shared" si="2"/>
        <v>M</v>
      </c>
      <c r="R7" s="79" t="str">
        <f t="shared" si="2"/>
        <v>T</v>
      </c>
      <c r="S7" s="79" t="str">
        <f t="shared" si="2"/>
        <v>W</v>
      </c>
      <c r="T7" s="79" t="str">
        <f t="shared" si="2"/>
        <v>T</v>
      </c>
      <c r="U7" s="79" t="str">
        <f t="shared" si="2"/>
        <v>F</v>
      </c>
      <c r="V7" s="79" t="str">
        <f t="shared" si="2"/>
        <v>S</v>
      </c>
      <c r="W7" s="80" t="str">
        <f t="shared" si="2"/>
        <v>S</v>
      </c>
      <c r="X7" s="78" t="str">
        <f t="shared" si="2"/>
        <v>M</v>
      </c>
      <c r="Y7" s="79" t="str">
        <f t="shared" si="2"/>
        <v>T</v>
      </c>
      <c r="Z7" s="79" t="str">
        <f t="shared" si="2"/>
        <v>W</v>
      </c>
      <c r="AA7" s="79" t="str">
        <f t="shared" si="2"/>
        <v>T</v>
      </c>
      <c r="AB7" s="79" t="str">
        <f t="shared" si="2"/>
        <v>F</v>
      </c>
      <c r="AC7" s="79" t="str">
        <f t="shared" si="2"/>
        <v>S</v>
      </c>
      <c r="AD7" s="80" t="str">
        <f t="shared" si="2"/>
        <v>S</v>
      </c>
      <c r="AE7" s="78" t="str">
        <f t="shared" si="2"/>
        <v>M</v>
      </c>
      <c r="AF7" s="79" t="str">
        <f t="shared" si="2"/>
        <v>T</v>
      </c>
      <c r="AG7" s="79" t="str">
        <f t="shared" si="2"/>
        <v>W</v>
      </c>
      <c r="AH7" s="79" t="str">
        <f t="shared" si="2"/>
        <v>T</v>
      </c>
      <c r="AI7" s="79" t="str">
        <f t="shared" si="2"/>
        <v>F</v>
      </c>
      <c r="AJ7" s="79" t="str">
        <f t="shared" si="2"/>
        <v>S</v>
      </c>
      <c r="AK7" s="80" t="str">
        <f t="shared" si="2"/>
        <v>S</v>
      </c>
      <c r="AL7" s="78" t="str">
        <f t="shared" si="2"/>
        <v>M</v>
      </c>
      <c r="AM7" s="79" t="str">
        <f t="shared" si="2"/>
        <v>T</v>
      </c>
      <c r="AN7" s="79" t="str">
        <f t="shared" si="2"/>
        <v>W</v>
      </c>
      <c r="AO7" s="79" t="str">
        <f t="shared" si="2"/>
        <v>T</v>
      </c>
      <c r="AP7" s="79" t="str">
        <f t="shared" ref="AP7:BM7" si="3">CHOOSE(WEEKDAY(AP6,1),"S","M","T","W","T","F","S")</f>
        <v>F</v>
      </c>
      <c r="AQ7" s="79" t="str">
        <f t="shared" si="3"/>
        <v>S</v>
      </c>
      <c r="AR7" s="80" t="str">
        <f t="shared" si="3"/>
        <v>S</v>
      </c>
      <c r="AS7" s="78" t="str">
        <f t="shared" si="3"/>
        <v>M</v>
      </c>
      <c r="AT7" s="79" t="str">
        <f t="shared" si="3"/>
        <v>T</v>
      </c>
      <c r="AU7" s="79" t="str">
        <f t="shared" si="3"/>
        <v>W</v>
      </c>
      <c r="AV7" s="79" t="str">
        <f t="shared" si="3"/>
        <v>T</v>
      </c>
      <c r="AW7" s="79" t="str">
        <f t="shared" si="3"/>
        <v>F</v>
      </c>
      <c r="AX7" s="79" t="str">
        <f t="shared" si="3"/>
        <v>S</v>
      </c>
      <c r="AY7" s="80" t="str">
        <f t="shared" si="3"/>
        <v>S</v>
      </c>
      <c r="AZ7" s="78" t="str">
        <f t="shared" si="3"/>
        <v>M</v>
      </c>
      <c r="BA7" s="79" t="str">
        <f t="shared" si="3"/>
        <v>T</v>
      </c>
      <c r="BB7" s="79" t="str">
        <f t="shared" si="3"/>
        <v>W</v>
      </c>
      <c r="BC7" s="79" t="str">
        <f t="shared" si="3"/>
        <v>T</v>
      </c>
      <c r="BD7" s="79" t="str">
        <f t="shared" si="3"/>
        <v>F</v>
      </c>
      <c r="BE7" s="79" t="str">
        <f t="shared" si="3"/>
        <v>S</v>
      </c>
      <c r="BF7" s="80" t="str">
        <f t="shared" si="3"/>
        <v>S</v>
      </c>
      <c r="BG7" s="78" t="str">
        <f t="shared" si="3"/>
        <v>M</v>
      </c>
      <c r="BH7" s="79" t="str">
        <f t="shared" si="3"/>
        <v>T</v>
      </c>
      <c r="BI7" s="79" t="str">
        <f t="shared" si="3"/>
        <v>W</v>
      </c>
      <c r="BJ7" s="79" t="str">
        <f t="shared" si="3"/>
        <v>T</v>
      </c>
      <c r="BK7" s="79" t="str">
        <f t="shared" si="3"/>
        <v>F</v>
      </c>
      <c r="BL7" s="79" t="str">
        <f t="shared" si="3"/>
        <v>S</v>
      </c>
      <c r="BM7" s="80" t="str">
        <f t="shared" si="3"/>
        <v>S</v>
      </c>
    </row>
    <row r="8" spans="1:65" s="22" customFormat="1" ht="17.399999999999999" x14ac:dyDescent="0.25">
      <c r="A8" s="45" t="str">
        <f>IF(ISERROR(VALUE(SUBSTITUTE(prevWBS,".",""))),"1",IF(ISERROR(FIND("`",SUBSTITUTE(prevWBS,".","`",1))),TEXT(VALUE(prevWBS)+1,"#"),TEXT(VALUE(LEFT(prevWBS,FIND("`",SUBSTITUTE(prevWBS,".","`",1))-1))+1,"#")))</f>
        <v>1</v>
      </c>
      <c r="B8" s="46" t="s">
        <v>1</v>
      </c>
      <c r="C8" s="47"/>
      <c r="D8" s="48"/>
      <c r="E8" s="49"/>
      <c r="F8" s="72" t="str">
        <f>IF(ISBLANK(E8)," - ",IF(G8=0,E8,E8+G8-1))</f>
        <v xml:space="preserve"> - </v>
      </c>
      <c r="G8" s="50"/>
      <c r="H8" s="51"/>
      <c r="I8" s="54"/>
      <c r="J8" s="65"/>
      <c r="K8" s="65"/>
      <c r="L8" s="65"/>
      <c r="M8" s="65"/>
      <c r="N8" s="65"/>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c r="BE8" s="65"/>
      <c r="BF8" s="65"/>
      <c r="BG8" s="65"/>
      <c r="BH8" s="65"/>
      <c r="BI8" s="65"/>
      <c r="BJ8" s="65"/>
      <c r="BK8" s="65"/>
      <c r="BL8" s="65"/>
      <c r="BM8" s="65"/>
    </row>
    <row r="9" spans="1:65" s="27" customFormat="1" ht="17.399999999999999" x14ac:dyDescent="0.25">
      <c r="A9" s="26" t="str">
        <f t="shared" ref="A9:A10" si="4">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9" s="83" t="s">
        <v>2</v>
      </c>
      <c r="D9" s="84"/>
      <c r="E9" s="60">
        <v>43647</v>
      </c>
      <c r="F9" s="61">
        <f t="shared" ref="F9:F18" si="5">IF(ISBLANK(E9)," - ",IF(G9=0,E9,E9+G9-1))</f>
        <v>43652</v>
      </c>
      <c r="G9" s="28">
        <v>6</v>
      </c>
      <c r="H9" s="29">
        <v>0.2</v>
      </c>
      <c r="I9" s="5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c r="BM9" s="66"/>
    </row>
    <row r="10" spans="1:65" s="27" customFormat="1" ht="17.399999999999999" x14ac:dyDescent="0.25">
      <c r="A10" s="26" t="str">
        <f t="shared" si="4"/>
        <v>1.2</v>
      </c>
      <c r="B10" s="83" t="s">
        <v>2</v>
      </c>
      <c r="D10" s="84"/>
      <c r="E10" s="60">
        <v>43647</v>
      </c>
      <c r="F10" s="61">
        <f t="shared" si="5"/>
        <v>43647</v>
      </c>
      <c r="G10" s="28">
        <v>0</v>
      </c>
      <c r="H10" s="29">
        <v>0</v>
      </c>
      <c r="I10" s="5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c r="BM10" s="66"/>
    </row>
    <row r="11" spans="1:65" s="27" customFormat="1" ht="17.399999999999999" x14ac:dyDescent="0.25">
      <c r="A11" s="26">
        <v>1.3</v>
      </c>
      <c r="B11" s="83"/>
      <c r="D11" s="84"/>
      <c r="E11" s="60">
        <v>43647</v>
      </c>
      <c r="F11" s="61">
        <f>IF(ISBLANK(E11)," - ",IF(G11=0,E11,E11+G11-1))</f>
        <v>43647</v>
      </c>
      <c r="G11" s="28"/>
      <c r="H11" s="29"/>
      <c r="I11" s="5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row>
    <row r="12" spans="1:65" s="27" customFormat="1" ht="17.399999999999999" x14ac:dyDescent="0.25">
      <c r="A12" s="26">
        <v>1.4</v>
      </c>
      <c r="B12" s="83" t="s">
        <v>2</v>
      </c>
      <c r="D12" s="84"/>
      <c r="E12" s="60">
        <v>43647</v>
      </c>
      <c r="F12" s="61">
        <f t="shared" si="5"/>
        <v>43647</v>
      </c>
      <c r="G12" s="28">
        <v>0</v>
      </c>
      <c r="H12" s="29">
        <v>0.5</v>
      </c>
      <c r="I12" s="5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c r="BM12" s="66"/>
    </row>
    <row r="13" spans="1:65" s="22" customFormat="1" ht="17.399999999999999" x14ac:dyDescent="0.25">
      <c r="A13" s="20" t="str">
        <f>IF(ISERROR(VALUE(SUBSTITUTE(prevWBS,".",""))),"1",IF(ISERROR(FIND("`",SUBSTITUTE(prevWBS,".","`",1))),TEXT(VALUE(prevWBS)+1,"#"),TEXT(VALUE(LEFT(prevWBS,FIND("`",SUBSTITUTE(prevWBS,".","`",1))-1))+1,"#")))</f>
        <v>2</v>
      </c>
      <c r="B13" s="21" t="s">
        <v>1</v>
      </c>
      <c r="D13" s="23"/>
      <c r="E13" s="62"/>
      <c r="F13" s="62" t="str">
        <f t="shared" si="5"/>
        <v xml:space="preserve"> - </v>
      </c>
      <c r="G13" s="24"/>
      <c r="H13" s="25"/>
      <c r="I13" s="56"/>
      <c r="J13" s="67"/>
      <c r="K13" s="67"/>
      <c r="L13" s="67"/>
      <c r="M13" s="67"/>
      <c r="N13" s="67"/>
      <c r="O13" s="67"/>
      <c r="P13" s="67"/>
      <c r="Q13" s="6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c r="BA13" s="67"/>
      <c r="BB13" s="67"/>
      <c r="BC13" s="67"/>
      <c r="BD13" s="67"/>
      <c r="BE13" s="67"/>
      <c r="BF13" s="67"/>
      <c r="BG13" s="67"/>
      <c r="BH13" s="67"/>
      <c r="BI13" s="67"/>
      <c r="BJ13" s="67"/>
      <c r="BK13" s="67"/>
      <c r="BL13" s="67"/>
      <c r="BM13" s="67"/>
    </row>
    <row r="14" spans="1:65" s="27" customFormat="1" ht="17.399999999999999" x14ac:dyDescent="0.25">
      <c r="A14" s="26"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14" s="83" t="s">
        <v>2</v>
      </c>
      <c r="D14" s="84"/>
      <c r="E14" s="60">
        <v>43647</v>
      </c>
      <c r="F14" s="61">
        <f t="shared" si="5"/>
        <v>43650</v>
      </c>
      <c r="G14" s="28">
        <v>4</v>
      </c>
      <c r="H14" s="29">
        <v>0</v>
      </c>
      <c r="I14" s="5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c r="BM14" s="66"/>
    </row>
    <row r="15" spans="1:65" s="22" customFormat="1" ht="17.399999999999999" x14ac:dyDescent="0.25">
      <c r="A15" s="20" t="str">
        <f>IF(ISERROR(VALUE(SUBSTITUTE(prevWBS,".",""))),"1",IF(ISERROR(FIND("`",SUBSTITUTE(prevWBS,".","`",1))),TEXT(VALUE(prevWBS)+1,"#"),TEXT(VALUE(LEFT(prevWBS,FIND("`",SUBSTITUTE(prevWBS,".","`",1))-1))+1,"#")))</f>
        <v>3</v>
      </c>
      <c r="B15" s="21" t="s">
        <v>1</v>
      </c>
      <c r="D15" s="23"/>
      <c r="E15" s="62"/>
      <c r="F15" s="62" t="str">
        <f t="shared" si="5"/>
        <v xml:space="preserve"> - </v>
      </c>
      <c r="G15" s="24"/>
      <c r="H15" s="25"/>
      <c r="I15" s="56"/>
      <c r="J15" s="67"/>
      <c r="K15" s="67"/>
      <c r="L15" s="67"/>
      <c r="M15" s="67"/>
      <c r="N15" s="67"/>
      <c r="O15" s="67"/>
      <c r="P15" s="67"/>
      <c r="Q15" s="67"/>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c r="BA15" s="67"/>
      <c r="BB15" s="67"/>
      <c r="BC15" s="67"/>
      <c r="BD15" s="67"/>
      <c r="BE15" s="67"/>
      <c r="BF15" s="67"/>
      <c r="BG15" s="67"/>
      <c r="BH15" s="67"/>
      <c r="BI15" s="67"/>
      <c r="BJ15" s="67"/>
      <c r="BK15" s="67"/>
      <c r="BL15" s="67"/>
      <c r="BM15" s="67"/>
    </row>
    <row r="16" spans="1:65" s="27" customFormat="1" ht="17.399999999999999" x14ac:dyDescent="0.25">
      <c r="A16" s="26"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16" s="83" t="s">
        <v>2</v>
      </c>
      <c r="D16" s="84"/>
      <c r="E16" s="60">
        <v>43647</v>
      </c>
      <c r="F16" s="61">
        <f t="shared" si="5"/>
        <v>43650</v>
      </c>
      <c r="G16" s="28">
        <v>4</v>
      </c>
      <c r="H16" s="29">
        <v>0.25</v>
      </c>
      <c r="I16" s="5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c r="BM16" s="66"/>
    </row>
    <row r="17" spans="1:65" s="22" customFormat="1" ht="17.399999999999999" x14ac:dyDescent="0.25">
      <c r="A17" s="20" t="str">
        <f>IF(ISERROR(VALUE(SUBSTITUTE(prevWBS,".",""))),"1",IF(ISERROR(FIND("`",SUBSTITUTE(prevWBS,".","`",1))),TEXT(VALUE(prevWBS)+1,"#"),TEXT(VALUE(LEFT(prevWBS,FIND("`",SUBSTITUTE(prevWBS,".","`",1))-1))+1,"#")))</f>
        <v>4</v>
      </c>
      <c r="B17" s="21" t="s">
        <v>1</v>
      </c>
      <c r="D17" s="23"/>
      <c r="E17" s="62"/>
      <c r="F17" s="62" t="str">
        <f t="shared" si="5"/>
        <v xml:space="preserve"> - </v>
      </c>
      <c r="G17" s="24"/>
      <c r="H17" s="25"/>
      <c r="I17" s="56"/>
      <c r="J17" s="67"/>
      <c r="K17" s="67"/>
      <c r="L17" s="67"/>
      <c r="M17" s="67"/>
      <c r="N17" s="67"/>
      <c r="O17" s="67"/>
      <c r="P17" s="67"/>
      <c r="Q17" s="67"/>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I17" s="67"/>
      <c r="BJ17" s="67"/>
      <c r="BK17" s="67"/>
      <c r="BL17" s="67"/>
      <c r="BM17" s="67"/>
    </row>
    <row r="18" spans="1:65" s="27" customFormat="1" ht="17.399999999999999" x14ac:dyDescent="0.25">
      <c r="A18" s="26"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18" s="83" t="s">
        <v>2</v>
      </c>
      <c r="D18" s="84"/>
      <c r="E18" s="60">
        <v>43647</v>
      </c>
      <c r="F18" s="61">
        <f t="shared" si="5"/>
        <v>43647</v>
      </c>
      <c r="G18" s="28">
        <v>1</v>
      </c>
      <c r="H18" s="29">
        <v>0</v>
      </c>
      <c r="I18" s="5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row>
    <row r="19" spans="1:65" s="34" customFormat="1" ht="17.399999999999999" x14ac:dyDescent="0.25">
      <c r="A19" s="26">
        <v>4.2</v>
      </c>
      <c r="B19" s="27" t="s">
        <v>19</v>
      </c>
      <c r="C19" s="30"/>
      <c r="D19" s="31"/>
      <c r="E19" s="89">
        <v>43704</v>
      </c>
      <c r="F19" s="89">
        <v>43706</v>
      </c>
      <c r="G19" s="90">
        <v>3</v>
      </c>
      <c r="H19" s="29"/>
      <c r="I19" s="57"/>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c r="BM19" s="66"/>
    </row>
    <row r="20" spans="1:65" s="34" customFormat="1" ht="17.399999999999999" x14ac:dyDescent="0.25">
      <c r="A20" s="26"/>
      <c r="B20" s="30"/>
      <c r="C20" s="30"/>
      <c r="D20" s="31"/>
      <c r="E20" s="63"/>
      <c r="F20" s="63"/>
      <c r="G20" s="32"/>
      <c r="H20" s="33"/>
      <c r="I20" s="57"/>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c r="BM20" s="66"/>
    </row>
    <row r="21" spans="1:65" s="39" customFormat="1" ht="17.399999999999999" x14ac:dyDescent="0.25">
      <c r="A21" s="35" t="s">
        <v>18</v>
      </c>
      <c r="B21" s="36"/>
      <c r="C21" s="37"/>
      <c r="D21" s="37"/>
      <c r="E21" s="64"/>
      <c r="F21" s="64"/>
      <c r="G21" s="38"/>
      <c r="H21" s="38"/>
      <c r="I21" s="58"/>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c r="BM21" s="66"/>
    </row>
    <row r="22" spans="1:65" s="34" customFormat="1" ht="17.399999999999999" x14ac:dyDescent="0.25">
      <c r="A22" s="86" t="str">
        <f>IF(ISERROR(VALUE(SUBSTITUTE(prevWBS,".",""))),"1",IF(ISERROR(FIND("`",SUBSTITUTE(prevWBS,".","`",1))),TEXT(VALUE(prevWBS)+1,"#"),TEXT(VALUE(LEFT(prevWBS,FIND("`",SUBSTITUTE(prevWBS,".","`",1))-1))+1,"#")))</f>
        <v>1</v>
      </c>
      <c r="B22" s="87" t="s">
        <v>16</v>
      </c>
      <c r="C22" s="40"/>
      <c r="D22" s="41"/>
      <c r="E22" s="60"/>
      <c r="F22" s="61" t="str">
        <f t="shared" ref="F22:F25" si="6">IF(ISBLANK(E22)," - ",IF(G22=0,E22,E22+G22-1))</f>
        <v xml:space="preserve"> - </v>
      </c>
      <c r="G22" s="28"/>
      <c r="H22" s="29"/>
      <c r="I22" s="59"/>
      <c r="J22" s="66"/>
      <c r="K22" s="66"/>
      <c r="L22" s="66"/>
      <c r="M22" s="66"/>
      <c r="N22" s="66"/>
      <c r="O22" s="66"/>
      <c r="P22" s="66"/>
      <c r="Q22" s="66"/>
      <c r="R22" s="66"/>
      <c r="S22" s="66"/>
      <c r="T22" s="66"/>
      <c r="U22" s="66"/>
      <c r="V22" s="66"/>
      <c r="W22" s="66"/>
      <c r="X22" s="66"/>
      <c r="Y22" s="66"/>
      <c r="Z22" s="66"/>
      <c r="AA22" s="66"/>
      <c r="AB22" s="66"/>
      <c r="AC22" s="66"/>
      <c r="AD22" s="66"/>
      <c r="AE22" s="66"/>
      <c r="AF22" s="66"/>
      <c r="AG22" s="66"/>
      <c r="AH22" s="66"/>
      <c r="AI22" s="66"/>
      <c r="AJ22" s="66"/>
      <c r="AK22" s="66"/>
      <c r="AL22" s="66"/>
      <c r="AM22" s="66"/>
      <c r="AN22" s="66"/>
      <c r="AO22" s="66"/>
      <c r="AP22" s="66"/>
      <c r="AQ22" s="66"/>
      <c r="AR22" s="66"/>
      <c r="AS22" s="66"/>
      <c r="AT22" s="66"/>
      <c r="AU22" s="66"/>
      <c r="AV22" s="66"/>
      <c r="AW22" s="66"/>
      <c r="AX22" s="66"/>
      <c r="AY22" s="66"/>
      <c r="AZ22" s="66"/>
      <c r="BA22" s="66"/>
      <c r="BB22" s="66"/>
      <c r="BC22" s="66"/>
      <c r="BD22" s="66"/>
      <c r="BE22" s="66"/>
      <c r="BF22" s="66"/>
      <c r="BG22" s="66"/>
      <c r="BH22" s="66"/>
      <c r="BI22" s="66"/>
      <c r="BJ22" s="66"/>
      <c r="BK22" s="66"/>
      <c r="BL22" s="66"/>
      <c r="BM22" s="66"/>
    </row>
    <row r="23" spans="1:65" s="34" customFormat="1" ht="17.399999999999999" x14ac:dyDescent="0.25">
      <c r="A23" s="26"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23" s="42" t="s">
        <v>3</v>
      </c>
      <c r="C23" s="42"/>
      <c r="D23" s="41"/>
      <c r="E23" s="60"/>
      <c r="F23" s="61" t="str">
        <f t="shared" si="6"/>
        <v xml:space="preserve"> - </v>
      </c>
      <c r="G23" s="28"/>
      <c r="H23" s="29"/>
      <c r="I23" s="59"/>
      <c r="J23" s="66"/>
      <c r="K23" s="66"/>
      <c r="L23" s="66"/>
      <c r="M23" s="66"/>
      <c r="N23" s="66"/>
      <c r="O23" s="66"/>
      <c r="P23" s="66"/>
      <c r="Q23" s="66"/>
      <c r="R23" s="66"/>
      <c r="S23" s="66"/>
      <c r="T23" s="66"/>
      <c r="U23" s="66"/>
      <c r="V23" s="66"/>
      <c r="W23" s="66"/>
      <c r="X23" s="66"/>
      <c r="Y23" s="66"/>
      <c r="Z23" s="66"/>
      <c r="AA23" s="66"/>
      <c r="AB23" s="66"/>
      <c r="AC23" s="66"/>
      <c r="AD23" s="66"/>
      <c r="AE23" s="66"/>
      <c r="AF23" s="66"/>
      <c r="AG23" s="66"/>
      <c r="AH23" s="66"/>
      <c r="AI23" s="66"/>
      <c r="AJ23" s="66"/>
      <c r="AK23" s="66"/>
      <c r="AL23" s="66"/>
      <c r="AM23" s="66"/>
      <c r="AN23" s="66"/>
      <c r="AO23" s="66"/>
      <c r="AP23" s="66"/>
      <c r="AQ23" s="66"/>
      <c r="AR23" s="66"/>
      <c r="AS23" s="66"/>
      <c r="AT23" s="66"/>
      <c r="AU23" s="66"/>
      <c r="AV23" s="66"/>
      <c r="AW23" s="66"/>
      <c r="AX23" s="66"/>
      <c r="AY23" s="66"/>
      <c r="AZ23" s="66"/>
      <c r="BA23" s="66"/>
      <c r="BB23" s="66"/>
      <c r="BC23" s="66"/>
      <c r="BD23" s="66"/>
      <c r="BE23" s="66"/>
      <c r="BF23" s="66"/>
      <c r="BG23" s="66"/>
      <c r="BH23" s="66"/>
      <c r="BI23" s="66"/>
      <c r="BJ23" s="66"/>
      <c r="BK23" s="66"/>
      <c r="BL23" s="66"/>
      <c r="BM23" s="66"/>
    </row>
    <row r="24" spans="1:65" s="34" customFormat="1" ht="17.399999999999999" x14ac:dyDescent="0.25">
      <c r="A24" s="2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24" s="43" t="s">
        <v>4</v>
      </c>
      <c r="C24" s="42"/>
      <c r="D24" s="41"/>
      <c r="E24" s="60"/>
      <c r="F24" s="61" t="str">
        <f t="shared" si="6"/>
        <v xml:space="preserve"> - </v>
      </c>
      <c r="G24" s="28"/>
      <c r="H24" s="29"/>
      <c r="I24" s="59"/>
      <c r="J24" s="66"/>
      <c r="K24" s="66"/>
      <c r="L24" s="66"/>
      <c r="M24" s="66"/>
      <c r="N24" s="66"/>
      <c r="O24" s="66"/>
      <c r="P24" s="66"/>
      <c r="Q24" s="66"/>
      <c r="R24" s="66"/>
      <c r="S24" s="66"/>
      <c r="T24" s="66"/>
      <c r="U24" s="66"/>
      <c r="V24" s="66"/>
      <c r="W24" s="66"/>
      <c r="X24" s="66"/>
      <c r="Y24" s="66"/>
      <c r="Z24" s="66"/>
      <c r="AA24" s="66"/>
      <c r="AB24" s="66"/>
      <c r="AC24" s="66"/>
      <c r="AD24" s="66"/>
      <c r="AE24" s="66"/>
      <c r="AF24" s="66"/>
      <c r="AG24" s="66"/>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6"/>
      <c r="BH24" s="66"/>
      <c r="BI24" s="66"/>
      <c r="BJ24" s="66"/>
      <c r="BK24" s="66"/>
      <c r="BL24" s="66"/>
      <c r="BM24" s="66"/>
    </row>
    <row r="25" spans="1:65" s="34" customFormat="1" ht="17.399999999999999" x14ac:dyDescent="0.25">
      <c r="A25" s="26"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25" s="43" t="s">
        <v>5</v>
      </c>
      <c r="C25" s="42"/>
      <c r="D25" s="41"/>
      <c r="E25" s="60"/>
      <c r="F25" s="61" t="str">
        <f t="shared" si="6"/>
        <v xml:space="preserve"> - </v>
      </c>
      <c r="G25" s="28"/>
      <c r="H25" s="29"/>
      <c r="I25" s="59"/>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c r="BM25" s="66"/>
    </row>
    <row r="26" spans="1:65" s="12" customFormat="1" x14ac:dyDescent="0.25">
      <c r="A26" s="9"/>
      <c r="B26" s="10"/>
      <c r="C26" s="10"/>
      <c r="D26" s="11"/>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row>
  </sheetData>
  <sheetProtection formatCells="0" formatColumns="0" formatRows="0" insertRows="0" deleteRows="0"/>
  <mergeCells count="19">
    <mergeCell ref="AE4:AK4"/>
    <mergeCell ref="AE5:AK5"/>
    <mergeCell ref="BG4:BM4"/>
    <mergeCell ref="BG5:BM5"/>
    <mergeCell ref="AL5:AR5"/>
    <mergeCell ref="AS4:AY4"/>
    <mergeCell ref="AS5:AY5"/>
    <mergeCell ref="AL4:AR4"/>
    <mergeCell ref="AZ4:BF4"/>
    <mergeCell ref="AZ5:BF5"/>
    <mergeCell ref="J1:AD1"/>
    <mergeCell ref="C5:E5"/>
    <mergeCell ref="Q4:W4"/>
    <mergeCell ref="J4:P4"/>
    <mergeCell ref="C4:E4"/>
    <mergeCell ref="Q5:W5"/>
    <mergeCell ref="J5:P5"/>
    <mergeCell ref="X4:AD4"/>
    <mergeCell ref="X5:AD5"/>
  </mergeCells>
  <phoneticPr fontId="3" type="noConversion"/>
  <conditionalFormatting sqref="H8:H25">
    <cfRule type="dataBar" priority="2">
      <dataBar>
        <cfvo type="num" val="0"/>
        <cfvo type="num" val="1"/>
        <color theme="0" tint="-0.34998626667073579"/>
      </dataBar>
      <extLst>
        <ext xmlns:x14="http://schemas.microsoft.com/office/spreadsheetml/2009/9/main" uri="{B025F937-C7B1-47D3-B67F-A62EFF666E3E}">
          <x14:id>{0A58A75E-4698-465A-8593-F06B91A3A900}</x14:id>
        </ext>
      </extLst>
    </cfRule>
  </conditionalFormatting>
  <conditionalFormatting sqref="J6:BM7">
    <cfRule type="expression" dxfId="3" priority="45">
      <formula>J$6=TODAY()</formula>
    </cfRule>
  </conditionalFormatting>
  <conditionalFormatting sqref="J8:BM25">
    <cfRule type="expression" dxfId="2" priority="48">
      <formula>AND($E8&lt;=J$6,ROUNDDOWN(($F8-$E8+1)*$H8,0)+$E8-1&gt;=J$6)</formula>
    </cfRule>
    <cfRule type="expression" dxfId="1" priority="49">
      <formula>AND(NOT(ISBLANK($E8)),$E8&lt;=J$6,$F8&gt;=J$6)</formula>
    </cfRule>
  </conditionalFormatting>
  <conditionalFormatting sqref="J6:BM25">
    <cfRule type="expression" dxfId="0" priority="8">
      <formula>J$6=TODAY()</formula>
    </cfRule>
  </conditionalFormatting>
  <dataValidations count="1">
    <dataValidation allowBlank="1" showInputMessage="1" promptTitle="Display Week" prompt="Enter the week number to display first in the Gantt Chart. The weeks are numbered starting from the week containing the Project Start Date." sqref="H4" xr:uid="{00000000-0002-0000-0000-000000000000}"/>
  </dataValidations>
  <pageMargins left="0.25" right="0.25" top="0.5" bottom="0.5" header="0.5" footer="0.25"/>
  <pageSetup scale="63" fitToHeight="0" orientation="landscape" r:id="rId1"/>
  <headerFooter alignWithMargins="0"/>
  <ignoredErrors>
    <ignoredError sqref="A20 B18 B16 B14 E13 E15 E17 E20:H21 G13:H13 G15:H15 G17:H18 G22:G25 B20:B21" unlockedFormula="1"/>
    <ignoredError sqref="A17 A15 A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238" r:id="rId4" name="Scroll Bar 46">
              <controlPr defaultSize="0" print="0" autoPict="0">
                <anchor moveWithCells="1">
                  <from>
                    <xdr:col>8</xdr:col>
                    <xdr:colOff>99060</xdr:colOff>
                    <xdr:row>1</xdr:row>
                    <xdr:rowOff>129540</xdr:rowOff>
                  </from>
                  <to>
                    <xdr:col>26</xdr:col>
                    <xdr:colOff>114300</xdr:colOff>
                    <xdr:row>2</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A58A75E-4698-465A-8593-F06B91A3A900}">
            <x14:dataBar minLength="0" maxLength="100" gradient="0">
              <x14:cfvo type="num">
                <xm:f>0</xm:f>
              </x14:cfvo>
              <x14:cfvo type="num">
                <xm:f>1</xm:f>
              </x14:cfvo>
              <x14:negativeFillColor rgb="FFFF0000"/>
              <x14:axisColor rgb="FF000000"/>
            </x14:dataBar>
          </x14:cfRule>
          <xm:sqref>H8:H25</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GanttChart</vt:lpstr>
      <vt:lpstr>GanttChart!prevWBS</vt:lpstr>
      <vt:lpstr>GanttChart!Print_Area</vt:lpstr>
      <vt:lpstr>GanttChart!Print_Titles</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Thomas Collins</cp:lastModifiedBy>
  <cp:lastPrinted>2018-02-12T20:25:38Z</cp:lastPrinted>
  <dcterms:created xsi:type="dcterms:W3CDTF">2010-06-09T16:05:03Z</dcterms:created>
  <dcterms:modified xsi:type="dcterms:W3CDTF">2019-06-28T01:53:43Z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3.1.0</vt:lpwstr>
  </property>
  <property fmtid="{D5CDD505-2E9C-101B-9397-08002B2CF9AE}" pid="4" name="Source">
    <vt:lpwstr>https://www.vertex42.com/ExcelTemplates/excel-gantt-chart.html</vt:lpwstr>
  </property>
</Properties>
</file>